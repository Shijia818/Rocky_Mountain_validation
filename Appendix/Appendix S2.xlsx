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ocky_Mountain\observational_data\Brian\"/>
    </mc:Choice>
  </mc:AlternateContent>
  <xr:revisionPtr revIDLastSave="0" documentId="13_ncr:1_{59BEA363-06A9-4176-A05E-657447615044}" xr6:coauthVersionLast="47" xr6:coauthVersionMax="47" xr10:uidLastSave="{00000000-0000-0000-0000-000000000000}"/>
  <bookViews>
    <workbookView xWindow="-210" yWindow="1433" windowWidth="20782" windowHeight="1256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9" i="1" l="1"/>
  <c r="I134" i="1"/>
  <c r="I129" i="1"/>
  <c r="I125" i="1"/>
  <c r="I121" i="1"/>
  <c r="I117" i="1"/>
  <c r="I113" i="1"/>
  <c r="I108" i="1"/>
  <c r="I104" i="1"/>
  <c r="I100" i="1"/>
  <c r="I96" i="1"/>
  <c r="I91" i="1"/>
  <c r="I87" i="1"/>
  <c r="I83" i="1"/>
  <c r="I79" i="1"/>
  <c r="I75" i="1"/>
  <c r="I70" i="1"/>
  <c r="I66" i="1"/>
  <c r="I61" i="1"/>
  <c r="I57" i="1"/>
  <c r="I52" i="1"/>
  <c r="I48" i="1"/>
  <c r="I44" i="1"/>
  <c r="I40" i="1"/>
  <c r="I36" i="1"/>
  <c r="I31" i="1"/>
  <c r="I27" i="1"/>
  <c r="I24" i="1"/>
  <c r="I21" i="1"/>
  <c r="I17" i="1"/>
  <c r="I13" i="1"/>
  <c r="I9" i="1"/>
  <c r="I6" i="1"/>
  <c r="I2" i="1"/>
  <c r="H139" i="1"/>
  <c r="G139" i="1"/>
  <c r="H134" i="1"/>
  <c r="G134" i="1"/>
  <c r="H129" i="1"/>
  <c r="G129" i="1"/>
  <c r="H125" i="1"/>
  <c r="G125" i="1"/>
  <c r="H121" i="1"/>
  <c r="G121" i="1"/>
  <c r="H117" i="1"/>
  <c r="G117" i="1"/>
  <c r="H113" i="1"/>
  <c r="G113" i="1"/>
  <c r="H108" i="1"/>
  <c r="G108" i="1"/>
  <c r="H104" i="1"/>
  <c r="G104" i="1"/>
  <c r="H100" i="1"/>
  <c r="G100" i="1"/>
  <c r="H96" i="1"/>
  <c r="G96" i="1"/>
  <c r="H91" i="1"/>
  <c r="G91" i="1"/>
  <c r="H87" i="1"/>
  <c r="G87" i="1"/>
  <c r="H83" i="1"/>
  <c r="G83" i="1"/>
  <c r="H79" i="1"/>
  <c r="G79" i="1"/>
  <c r="H75" i="1"/>
  <c r="G75" i="1"/>
  <c r="H70" i="1"/>
  <c r="G70" i="1"/>
  <c r="H66" i="1"/>
  <c r="G66" i="1"/>
  <c r="H61" i="1"/>
  <c r="G61" i="1"/>
  <c r="H57" i="1"/>
  <c r="G57" i="1"/>
  <c r="H52" i="1"/>
  <c r="G52" i="1"/>
  <c r="H48" i="1"/>
  <c r="G48" i="1"/>
  <c r="H44" i="1"/>
  <c r="G44" i="1"/>
  <c r="H40" i="1"/>
  <c r="G40" i="1"/>
  <c r="H36" i="1"/>
  <c r="G36" i="1"/>
  <c r="H31" i="1"/>
  <c r="G31" i="1"/>
  <c r="H27" i="1"/>
  <c r="G27" i="1"/>
  <c r="H24" i="1"/>
  <c r="G24" i="1"/>
  <c r="H21" i="1"/>
  <c r="G21" i="1"/>
  <c r="H17" i="1"/>
  <c r="G17" i="1"/>
  <c r="H13" i="1"/>
  <c r="G13" i="1"/>
  <c r="H9" i="1"/>
  <c r="G9" i="1"/>
  <c r="H6" i="1"/>
  <c r="G6" i="1"/>
  <c r="H2" i="1"/>
  <c r="G2" i="1"/>
</calcChain>
</file>

<file path=xl/sharedStrings.xml><?xml version="1.0" encoding="utf-8"?>
<sst xmlns="http://schemas.openxmlformats.org/spreadsheetml/2006/main" count="210" uniqueCount="91">
  <si>
    <t>Plot_name</t>
    <phoneticPr fontId="1" type="noConversion"/>
  </si>
  <si>
    <t>Code</t>
    <phoneticPr fontId="1" type="noConversion"/>
  </si>
  <si>
    <t>RM1</t>
    <phoneticPr fontId="1" type="noConversion"/>
  </si>
  <si>
    <t>Altitude</t>
    <phoneticPr fontId="1" type="noConversion"/>
  </si>
  <si>
    <t>Latitude</t>
    <phoneticPr fontId="1" type="noConversion"/>
  </si>
  <si>
    <t>Longitude</t>
    <phoneticPr fontId="1" type="noConversion"/>
  </si>
  <si>
    <t>Corner</t>
    <phoneticPr fontId="1" type="noConversion"/>
  </si>
  <si>
    <t>SW</t>
  </si>
  <si>
    <t>SW</t>
    <phoneticPr fontId="1" type="noConversion"/>
  </si>
  <si>
    <t>NW</t>
  </si>
  <si>
    <t>NW</t>
    <phoneticPr fontId="1" type="noConversion"/>
  </si>
  <si>
    <t>NE</t>
  </si>
  <si>
    <t>NE</t>
    <phoneticPr fontId="1" type="noConversion"/>
  </si>
  <si>
    <t>SE</t>
  </si>
  <si>
    <t>SE</t>
    <phoneticPr fontId="1" type="noConversion"/>
  </si>
  <si>
    <t>RM2</t>
    <phoneticPr fontId="1" type="noConversion"/>
  </si>
  <si>
    <t>RM3</t>
    <phoneticPr fontId="1" type="noConversion"/>
  </si>
  <si>
    <t>RM4</t>
    <phoneticPr fontId="1" type="noConversion"/>
  </si>
  <si>
    <t>RM5</t>
    <phoneticPr fontId="1" type="noConversion"/>
  </si>
  <si>
    <t>RM6</t>
    <phoneticPr fontId="1" type="noConversion"/>
  </si>
  <si>
    <t>RM7</t>
    <phoneticPr fontId="1" type="noConversion"/>
  </si>
  <si>
    <t>RM8</t>
    <phoneticPr fontId="1" type="noConversion"/>
  </si>
  <si>
    <t>RM9</t>
    <phoneticPr fontId="1" type="noConversion"/>
  </si>
  <si>
    <t>Rocky_Meadow1</t>
    <phoneticPr fontId="1" type="noConversion"/>
  </si>
  <si>
    <t>Rocky_Meadow2</t>
    <phoneticPr fontId="1" type="noConversion"/>
  </si>
  <si>
    <t>Rocky_Meadow3</t>
    <phoneticPr fontId="1" type="noConversion"/>
  </si>
  <si>
    <t>Rocky_Meadow4</t>
    <phoneticPr fontId="1" type="noConversion"/>
  </si>
  <si>
    <t>Rocky_Meadow5</t>
    <phoneticPr fontId="1" type="noConversion"/>
  </si>
  <si>
    <t>Rocky_Meadow6</t>
    <phoneticPr fontId="1" type="noConversion"/>
  </si>
  <si>
    <t>Rocky_Meadow7</t>
    <phoneticPr fontId="1" type="noConversion"/>
  </si>
  <si>
    <t>Rocky_Meadow8</t>
    <phoneticPr fontId="1" type="noConversion"/>
  </si>
  <si>
    <t>Rocky_Meadow9</t>
    <phoneticPr fontId="1" type="noConversion"/>
  </si>
  <si>
    <t>Latitude_final</t>
    <phoneticPr fontId="1" type="noConversion"/>
  </si>
  <si>
    <t>Longitude_final</t>
    <phoneticPr fontId="1" type="noConversion"/>
  </si>
  <si>
    <t>GH1</t>
    <phoneticPr fontId="1" type="noConversion"/>
  </si>
  <si>
    <t>GH2</t>
    <phoneticPr fontId="1" type="noConversion"/>
  </si>
  <si>
    <t>GH3</t>
    <phoneticPr fontId="1" type="noConversion"/>
  </si>
  <si>
    <t>GH4</t>
    <phoneticPr fontId="1" type="noConversion"/>
  </si>
  <si>
    <t>GH5</t>
    <phoneticPr fontId="1" type="noConversion"/>
  </si>
  <si>
    <t>Green_house1</t>
    <phoneticPr fontId="1" type="noConversion"/>
  </si>
  <si>
    <t>Green_house2</t>
    <phoneticPr fontId="1" type="noConversion"/>
  </si>
  <si>
    <t>Green_house3</t>
    <phoneticPr fontId="1" type="noConversion"/>
  </si>
  <si>
    <t>Green_house4</t>
    <phoneticPr fontId="1" type="noConversion"/>
  </si>
  <si>
    <t>N</t>
  </si>
  <si>
    <t>E</t>
  </si>
  <si>
    <t>S</t>
  </si>
  <si>
    <t>W</t>
  </si>
  <si>
    <t>Green_house5</t>
    <phoneticPr fontId="1" type="noConversion"/>
  </si>
  <si>
    <t>EM1</t>
    <phoneticPr fontId="1" type="noConversion"/>
  </si>
  <si>
    <t>EM2</t>
    <phoneticPr fontId="1" type="noConversion"/>
  </si>
  <si>
    <r>
      <t>Erythronium</t>
    </r>
    <r>
      <rPr>
        <sz val="12"/>
        <color rgb="FF000000"/>
        <rFont val="Times New Roman"/>
        <family val="1"/>
      </rPr>
      <t xml:space="preserve"> Meadow1</t>
    </r>
    <phoneticPr fontId="1" type="noConversion"/>
  </si>
  <si>
    <r>
      <t>Erythronium</t>
    </r>
    <r>
      <rPr>
        <sz val="12"/>
        <color rgb="FF000000"/>
        <rFont val="Times New Roman"/>
        <family val="1"/>
      </rPr>
      <t xml:space="preserve"> Meadow2</t>
    </r>
    <phoneticPr fontId="1" type="noConversion"/>
  </si>
  <si>
    <t>VR1</t>
    <phoneticPr fontId="1" type="noConversion"/>
  </si>
  <si>
    <r>
      <t>Veratrum</t>
    </r>
    <r>
      <rPr>
        <sz val="12"/>
        <color rgb="FF000000"/>
        <rFont val="Times New Roman"/>
        <family val="1"/>
      </rPr>
      <t xml:space="preserve"> Removal1</t>
    </r>
    <phoneticPr fontId="1" type="noConversion"/>
  </si>
  <si>
    <r>
      <t>Veratrum</t>
    </r>
    <r>
      <rPr>
        <sz val="12"/>
        <color rgb="FF000000"/>
        <rFont val="Times New Roman"/>
        <family val="1"/>
      </rPr>
      <t xml:space="preserve"> Removal2</t>
    </r>
    <phoneticPr fontId="1" type="noConversion"/>
  </si>
  <si>
    <t>VR2</t>
    <phoneticPr fontId="1" type="noConversion"/>
  </si>
  <si>
    <t>Wet Meadow1</t>
    <phoneticPr fontId="1" type="noConversion"/>
  </si>
  <si>
    <t>WM1</t>
    <phoneticPr fontId="1" type="noConversion"/>
  </si>
  <si>
    <t>Wet Meadow2</t>
    <phoneticPr fontId="1" type="noConversion"/>
  </si>
  <si>
    <t>Wet Meadow3</t>
    <phoneticPr fontId="1" type="noConversion"/>
  </si>
  <si>
    <t>Wet Meadow4</t>
    <phoneticPr fontId="1" type="noConversion"/>
  </si>
  <si>
    <t>Wet Meadow5</t>
    <phoneticPr fontId="1" type="noConversion"/>
  </si>
  <si>
    <t>WM2</t>
    <phoneticPr fontId="1" type="noConversion"/>
  </si>
  <si>
    <t>WM3</t>
    <phoneticPr fontId="1" type="noConversion"/>
  </si>
  <si>
    <t>WM4</t>
    <phoneticPr fontId="1" type="noConversion"/>
  </si>
  <si>
    <t>WM5</t>
    <phoneticPr fontId="1" type="noConversion"/>
  </si>
  <si>
    <t>SG1</t>
    <phoneticPr fontId="1" type="noConversion"/>
  </si>
  <si>
    <t>South Gothic1</t>
    <phoneticPr fontId="1" type="noConversion"/>
  </si>
  <si>
    <t>South Gothic2</t>
    <phoneticPr fontId="1" type="noConversion"/>
  </si>
  <si>
    <t>South Gothic3</t>
    <phoneticPr fontId="1" type="noConversion"/>
  </si>
  <si>
    <t>South Gothic4</t>
    <phoneticPr fontId="1" type="noConversion"/>
  </si>
  <si>
    <t>SG2</t>
    <phoneticPr fontId="1" type="noConversion"/>
  </si>
  <si>
    <t>SG3</t>
    <phoneticPr fontId="1" type="noConversion"/>
  </si>
  <si>
    <t>SG4</t>
    <phoneticPr fontId="1" type="noConversion"/>
  </si>
  <si>
    <t>\</t>
    <phoneticPr fontId="1" type="noConversion"/>
  </si>
  <si>
    <t>Willow-Meadow Interface1</t>
    <phoneticPr fontId="1" type="noConversion"/>
  </si>
  <si>
    <t>INT1</t>
    <phoneticPr fontId="1" type="noConversion"/>
  </si>
  <si>
    <t>Willow-Meadow Interface2</t>
    <phoneticPr fontId="1" type="noConversion"/>
  </si>
  <si>
    <t>Willow-Meadow Interface3</t>
    <phoneticPr fontId="1" type="noConversion"/>
  </si>
  <si>
    <t>Willow-Meadow Interface4</t>
    <phoneticPr fontId="1" type="noConversion"/>
  </si>
  <si>
    <t>Willow-Meadow Interface5</t>
    <phoneticPr fontId="1" type="noConversion"/>
  </si>
  <si>
    <t>INT2</t>
    <phoneticPr fontId="1" type="noConversion"/>
  </si>
  <si>
    <t>INT3</t>
    <phoneticPr fontId="1" type="noConversion"/>
  </si>
  <si>
    <t>INT4</t>
    <phoneticPr fontId="1" type="noConversion"/>
  </si>
  <si>
    <t>INT5</t>
    <phoneticPr fontId="1" type="noConversion"/>
  </si>
  <si>
    <t xml:space="preserve">NE </t>
  </si>
  <si>
    <t>Stream</t>
    <phoneticPr fontId="1" type="noConversion"/>
  </si>
  <si>
    <t>STR</t>
    <phoneticPr fontId="1" type="noConversion"/>
  </si>
  <si>
    <t>Meadow</t>
    <phoneticPr fontId="1" type="noConversion"/>
  </si>
  <si>
    <t>MDW</t>
    <phoneticPr fontId="1" type="noConversion"/>
  </si>
  <si>
    <t>Altitude_final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</si>
</sst>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_ "/>
    <numFmt numFmtId="177" formatCode="0.000_ "/>
    <numFmt numFmtId="183" formatCode="0.0000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mbria"/>
      <family val="1"/>
    </font>
    <font>
      <sz val="12"/>
      <color theme="1"/>
      <name val="Cambria"/>
      <family val="1"/>
    </font>
    <font>
      <sz val="14"/>
      <color theme="1"/>
      <name val="Cambria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2" borderId="0" xfId="0" applyFont="1" applyFill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center"/>
    </xf>
    <xf numFmtId="176" fontId="4" fillId="2" borderId="0" xfId="0" applyNumberFormat="1" applyFont="1" applyFill="1"/>
    <xf numFmtId="176" fontId="2" fillId="0" borderId="0" xfId="0" applyNumberFormat="1" applyFont="1"/>
    <xf numFmtId="177" fontId="4" fillId="2" borderId="0" xfId="0" applyNumberFormat="1" applyFont="1" applyFill="1"/>
    <xf numFmtId="177" fontId="2" fillId="0" borderId="0" xfId="0" applyNumberFormat="1" applyFont="1"/>
    <xf numFmtId="177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83" fontId="5" fillId="0" borderId="0" xfId="0" applyNumberFormat="1" applyFont="1" applyAlignment="1">
      <alignment horizontal="center" vertical="center"/>
    </xf>
    <xf numFmtId="183" fontId="5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2"/>
  <sheetViews>
    <sheetView tabSelected="1" zoomScale="111" workbookViewId="0">
      <selection activeCell="F145" sqref="F145"/>
    </sheetView>
  </sheetViews>
  <sheetFormatPr defaultRowHeight="13.9" x14ac:dyDescent="0.4"/>
  <cols>
    <col min="1" max="1" width="26.9296875" customWidth="1"/>
    <col min="2" max="2" width="15.46484375" customWidth="1"/>
    <col min="3" max="3" width="11.6640625" style="5" customWidth="1"/>
    <col min="4" max="4" width="16.06640625" customWidth="1"/>
    <col min="5" max="5" width="17.3984375" customWidth="1"/>
    <col min="6" max="6" width="18.53125" customWidth="1"/>
    <col min="7" max="7" width="17.6640625" style="10" customWidth="1"/>
    <col min="8" max="8" width="17.265625" style="10" customWidth="1"/>
    <col min="9" max="9" width="15.73046875" style="12" customWidth="1"/>
  </cols>
  <sheetData>
    <row r="1" spans="1:9" ht="18.75" customHeight="1" x14ac:dyDescent="0.45">
      <c r="A1" s="1" t="s">
        <v>0</v>
      </c>
      <c r="B1" s="1" t="s">
        <v>1</v>
      </c>
      <c r="C1" s="6" t="s">
        <v>6</v>
      </c>
      <c r="D1" s="1" t="s">
        <v>3</v>
      </c>
      <c r="E1" s="1" t="s">
        <v>4</v>
      </c>
      <c r="F1" s="1" t="s">
        <v>5</v>
      </c>
      <c r="G1" s="9" t="s">
        <v>32</v>
      </c>
      <c r="H1" s="9" t="s">
        <v>33</v>
      </c>
      <c r="I1" s="11" t="s">
        <v>90</v>
      </c>
    </row>
    <row r="2" spans="1:9" ht="15.4" x14ac:dyDescent="0.4">
      <c r="A2" s="18" t="s">
        <v>23</v>
      </c>
      <c r="B2" s="18" t="s">
        <v>2</v>
      </c>
      <c r="C2" s="2" t="s">
        <v>8</v>
      </c>
      <c r="D2" s="3">
        <v>2965.75</v>
      </c>
      <c r="E2" s="19">
        <v>38.961921500000003</v>
      </c>
      <c r="F2" s="19">
        <v>-106.9865916</v>
      </c>
      <c r="G2" s="14">
        <f>(E2+E3+E4+E5)/4</f>
        <v>38.961933074999997</v>
      </c>
      <c r="H2" s="14">
        <f>(F2+F3+F4+F5)/4</f>
        <v>-106.98659094999999</v>
      </c>
      <c r="I2" s="13">
        <f>AVERAGE(D2:D5)</f>
        <v>2966.335</v>
      </c>
    </row>
    <row r="3" spans="1:9" ht="15.4" x14ac:dyDescent="0.4">
      <c r="A3" s="18"/>
      <c r="B3" s="18"/>
      <c r="C3" s="2" t="s">
        <v>10</v>
      </c>
      <c r="D3" s="3">
        <v>2966.44</v>
      </c>
      <c r="E3" s="19">
        <v>38.961933000000002</v>
      </c>
      <c r="F3" s="19">
        <v>-106.98660719999999</v>
      </c>
      <c r="G3" s="14"/>
      <c r="H3" s="14"/>
      <c r="I3" s="13"/>
    </row>
    <row r="4" spans="1:9" ht="15.4" x14ac:dyDescent="0.4">
      <c r="A4" s="18"/>
      <c r="B4" s="18"/>
      <c r="C4" s="2" t="s">
        <v>12</v>
      </c>
      <c r="D4" s="3">
        <v>2966.92</v>
      </c>
      <c r="E4" s="19">
        <v>38.961944899999999</v>
      </c>
      <c r="F4" s="19">
        <v>-106.9865906</v>
      </c>
      <c r="G4" s="14"/>
      <c r="H4" s="14"/>
      <c r="I4" s="13"/>
    </row>
    <row r="5" spans="1:9" ht="15.75" thickBot="1" x14ac:dyDescent="0.45">
      <c r="A5" s="18"/>
      <c r="B5" s="18"/>
      <c r="C5" s="2" t="s">
        <v>14</v>
      </c>
      <c r="D5" s="4">
        <v>2966.23</v>
      </c>
      <c r="E5" s="20">
        <v>38.961932900000001</v>
      </c>
      <c r="F5" s="20">
        <v>-106.98657439999999</v>
      </c>
      <c r="G5" s="14"/>
      <c r="H5" s="14"/>
      <c r="I5" s="13"/>
    </row>
    <row r="6" spans="1:9" ht="15.4" x14ac:dyDescent="0.4">
      <c r="A6" s="18" t="s">
        <v>24</v>
      </c>
      <c r="B6" s="18" t="s">
        <v>15</v>
      </c>
      <c r="C6" s="2" t="s">
        <v>8</v>
      </c>
      <c r="D6" s="3">
        <v>2966.27</v>
      </c>
      <c r="E6" s="19">
        <v>38.961960900000001</v>
      </c>
      <c r="F6" s="19">
        <v>-106.9868785</v>
      </c>
      <c r="G6" s="14">
        <f>(E6+E7+E8)/3</f>
        <v>38.961972333333335</v>
      </c>
      <c r="H6" s="14">
        <f>(F6+F7+F8)/3</f>
        <v>-106.98688516666668</v>
      </c>
      <c r="I6" s="13">
        <f>AVERAGE(D6:D8)</f>
        <v>2966.6066666666666</v>
      </c>
    </row>
    <row r="7" spans="1:9" ht="15.4" x14ac:dyDescent="0.4">
      <c r="A7" s="18"/>
      <c r="B7" s="18"/>
      <c r="C7" s="2" t="s">
        <v>10</v>
      </c>
      <c r="D7" s="3">
        <v>2966.52</v>
      </c>
      <c r="E7" s="19">
        <v>38.961972099999997</v>
      </c>
      <c r="F7" s="19">
        <v>-106.9868963</v>
      </c>
      <c r="G7" s="14"/>
      <c r="H7" s="14"/>
      <c r="I7" s="13"/>
    </row>
    <row r="8" spans="1:9" ht="15.75" thickBot="1" x14ac:dyDescent="0.45">
      <c r="A8" s="18"/>
      <c r="B8" s="18"/>
      <c r="C8" s="2" t="s">
        <v>12</v>
      </c>
      <c r="D8" s="4">
        <v>2967.03</v>
      </c>
      <c r="E8" s="20">
        <v>38.961984000000001</v>
      </c>
      <c r="F8" s="20">
        <v>-106.9868807</v>
      </c>
      <c r="G8" s="14"/>
      <c r="H8" s="14"/>
      <c r="I8" s="13"/>
    </row>
    <row r="9" spans="1:9" ht="15.4" x14ac:dyDescent="0.4">
      <c r="A9" s="18" t="s">
        <v>25</v>
      </c>
      <c r="B9" s="18" t="s">
        <v>16</v>
      </c>
      <c r="C9" s="2" t="s">
        <v>8</v>
      </c>
      <c r="D9" s="3">
        <v>2970.2</v>
      </c>
      <c r="E9" s="19">
        <v>38.962225599999996</v>
      </c>
      <c r="F9" s="19">
        <v>-106.98683029999999</v>
      </c>
      <c r="G9" s="14">
        <f>(E9+E10+E11+E12)/4</f>
        <v>38.962238124999999</v>
      </c>
      <c r="H9" s="14">
        <f>(F9+F10+F11+F12)/4</f>
        <v>-106.98683489999999</v>
      </c>
      <c r="I9" s="13">
        <f>AVERAGE(D9:D12)</f>
        <v>2970.1525000000001</v>
      </c>
    </row>
    <row r="10" spans="1:9" ht="15.4" x14ac:dyDescent="0.4">
      <c r="A10" s="18"/>
      <c r="B10" s="18"/>
      <c r="C10" s="2" t="s">
        <v>14</v>
      </c>
      <c r="D10" s="3">
        <v>2970</v>
      </c>
      <c r="E10" s="19">
        <v>38.962241599999999</v>
      </c>
      <c r="F10" s="19">
        <v>-106.98681929999999</v>
      </c>
      <c r="G10" s="14"/>
      <c r="H10" s="14"/>
      <c r="I10" s="13"/>
    </row>
    <row r="11" spans="1:9" ht="15.4" x14ac:dyDescent="0.4">
      <c r="A11" s="18"/>
      <c r="B11" s="18"/>
      <c r="C11" s="2" t="s">
        <v>12</v>
      </c>
      <c r="D11" s="3">
        <v>2970.09</v>
      </c>
      <c r="E11" s="19">
        <v>38.962251000000002</v>
      </c>
      <c r="F11" s="19">
        <v>-106.9868398</v>
      </c>
      <c r="G11" s="14"/>
      <c r="H11" s="14"/>
      <c r="I11" s="13"/>
    </row>
    <row r="12" spans="1:9" ht="15.75" thickBot="1" x14ac:dyDescent="0.45">
      <c r="A12" s="18"/>
      <c r="B12" s="18"/>
      <c r="C12" s="2" t="s">
        <v>10</v>
      </c>
      <c r="D12" s="4">
        <v>2970.32</v>
      </c>
      <c r="E12" s="20">
        <v>38.962234299999999</v>
      </c>
      <c r="F12" s="20">
        <v>-106.98685020000001</v>
      </c>
      <c r="G12" s="14"/>
      <c r="H12" s="14"/>
      <c r="I12" s="13"/>
    </row>
    <row r="13" spans="1:9" ht="15.4" x14ac:dyDescent="0.4">
      <c r="A13" s="18" t="s">
        <v>26</v>
      </c>
      <c r="B13" s="18" t="s">
        <v>17</v>
      </c>
      <c r="C13" s="2" t="s">
        <v>14</v>
      </c>
      <c r="D13" s="3">
        <v>2968.87</v>
      </c>
      <c r="E13" s="19">
        <v>38.962257100000002</v>
      </c>
      <c r="F13" s="19">
        <v>-106.9870268</v>
      </c>
      <c r="G13" s="14">
        <f>(E13+E14+E15+E16)/4</f>
        <v>38.962268450000003</v>
      </c>
      <c r="H13" s="14">
        <f>(F13+F14+F15+F16)/4</f>
        <v>-106.9870353</v>
      </c>
      <c r="I13" s="13">
        <f>AVERAGE(D13:D16)</f>
        <v>2968.75</v>
      </c>
    </row>
    <row r="14" spans="1:9" ht="15.4" x14ac:dyDescent="0.4">
      <c r="A14" s="18"/>
      <c r="B14" s="18"/>
      <c r="C14" s="2" t="s">
        <v>8</v>
      </c>
      <c r="D14" s="3">
        <v>2968.36</v>
      </c>
      <c r="E14" s="19">
        <v>38.9622624</v>
      </c>
      <c r="F14" s="19">
        <v>-106.98704789999999</v>
      </c>
      <c r="G14" s="14"/>
      <c r="H14" s="14"/>
      <c r="I14" s="13"/>
    </row>
    <row r="15" spans="1:9" ht="15.4" x14ac:dyDescent="0.4">
      <c r="A15" s="18"/>
      <c r="B15" s="18"/>
      <c r="C15" s="2" t="s">
        <v>10</v>
      </c>
      <c r="D15" s="3">
        <v>2968.67</v>
      </c>
      <c r="E15" s="19">
        <v>38.962279700000003</v>
      </c>
      <c r="F15" s="19">
        <v>-106.9870442</v>
      </c>
      <c r="G15" s="14"/>
      <c r="H15" s="14"/>
      <c r="I15" s="13"/>
    </row>
    <row r="16" spans="1:9" ht="15.75" thickBot="1" x14ac:dyDescent="0.45">
      <c r="A16" s="18"/>
      <c r="B16" s="18"/>
      <c r="C16" s="2" t="s">
        <v>12</v>
      </c>
      <c r="D16" s="4">
        <v>2969.1</v>
      </c>
      <c r="E16" s="20">
        <v>38.962274600000001</v>
      </c>
      <c r="F16" s="20">
        <v>-106.98702230000001</v>
      </c>
      <c r="G16" s="14"/>
      <c r="H16" s="14"/>
      <c r="I16" s="13"/>
    </row>
    <row r="17" spans="1:9" ht="15.4" x14ac:dyDescent="0.4">
      <c r="A17" s="18" t="s">
        <v>27</v>
      </c>
      <c r="B17" s="18" t="s">
        <v>18</v>
      </c>
      <c r="C17" s="2" t="s">
        <v>14</v>
      </c>
      <c r="D17" s="3">
        <v>2970.08</v>
      </c>
      <c r="E17" s="19">
        <v>38.9622405</v>
      </c>
      <c r="F17" s="19">
        <v>-106.9869262</v>
      </c>
      <c r="G17" s="14">
        <f>(E17+E18+E19+E20)/4</f>
        <v>38.962242500000002</v>
      </c>
      <c r="H17" s="14">
        <f>(F17+F18+F19+F20)/4</f>
        <v>-106.986942175</v>
      </c>
      <c r="I17" s="13">
        <f>AVERAGE(D17:D20)</f>
        <v>2970.0050000000001</v>
      </c>
    </row>
    <row r="18" spans="1:9" ht="15.4" x14ac:dyDescent="0.4">
      <c r="A18" s="18"/>
      <c r="B18" s="18"/>
      <c r="C18" s="2" t="s">
        <v>8</v>
      </c>
      <c r="D18" s="3">
        <v>2969.92</v>
      </c>
      <c r="E18" s="19">
        <v>38.962229999999998</v>
      </c>
      <c r="F18" s="19">
        <v>-106.9869446</v>
      </c>
      <c r="G18" s="14"/>
      <c r="H18" s="14"/>
      <c r="I18" s="13"/>
    </row>
    <row r="19" spans="1:9" ht="15.4" x14ac:dyDescent="0.4">
      <c r="A19" s="18"/>
      <c r="B19" s="18"/>
      <c r="C19" s="2" t="s">
        <v>10</v>
      </c>
      <c r="D19" s="3">
        <v>2969.9</v>
      </c>
      <c r="E19" s="19">
        <v>38.962244099999999</v>
      </c>
      <c r="F19" s="19">
        <v>-106.9869582</v>
      </c>
      <c r="G19" s="14"/>
      <c r="H19" s="14"/>
      <c r="I19" s="13"/>
    </row>
    <row r="20" spans="1:9" ht="15.75" thickBot="1" x14ac:dyDescent="0.45">
      <c r="A20" s="18"/>
      <c r="B20" s="18"/>
      <c r="C20" s="2" t="s">
        <v>12</v>
      </c>
      <c r="D20" s="4">
        <v>2970.12</v>
      </c>
      <c r="E20" s="20">
        <v>38.962255399999997</v>
      </c>
      <c r="F20" s="20">
        <v>-106.98693969999999</v>
      </c>
      <c r="G20" s="14"/>
      <c r="H20" s="14"/>
      <c r="I20" s="13"/>
    </row>
    <row r="21" spans="1:9" ht="15.4" x14ac:dyDescent="0.4">
      <c r="A21" s="18" t="s">
        <v>28</v>
      </c>
      <c r="B21" s="18" t="s">
        <v>19</v>
      </c>
      <c r="C21" s="2" t="s">
        <v>8</v>
      </c>
      <c r="D21" s="3">
        <v>2967.23</v>
      </c>
      <c r="E21" s="19">
        <v>38.9620046</v>
      </c>
      <c r="F21" s="19">
        <v>-106.9868953</v>
      </c>
      <c r="G21" s="14">
        <f>(E21+E22+E23)/3</f>
        <v>38.962017533333331</v>
      </c>
      <c r="H21" s="14">
        <f>(F21+F22+F23)/3</f>
        <v>-106.98690033333332</v>
      </c>
      <c r="I21" s="13">
        <f>AVERAGE(D21:D23)</f>
        <v>2967.3933333333334</v>
      </c>
    </row>
    <row r="22" spans="1:9" ht="15.4" x14ac:dyDescent="0.4">
      <c r="A22" s="18"/>
      <c r="B22" s="18"/>
      <c r="C22" s="2" t="s">
        <v>10</v>
      </c>
      <c r="D22" s="3">
        <v>2967.21</v>
      </c>
      <c r="E22" s="19">
        <v>38.962017899999999</v>
      </c>
      <c r="F22" s="19">
        <v>-106.9869108</v>
      </c>
      <c r="G22" s="14"/>
      <c r="H22" s="14"/>
      <c r="I22" s="13"/>
    </row>
    <row r="23" spans="1:9" ht="15.75" thickBot="1" x14ac:dyDescent="0.45">
      <c r="A23" s="18"/>
      <c r="B23" s="18"/>
      <c r="C23" s="2" t="s">
        <v>12</v>
      </c>
      <c r="D23" s="4">
        <v>2967.74</v>
      </c>
      <c r="E23" s="20">
        <v>38.9620301</v>
      </c>
      <c r="F23" s="20">
        <v>-106.9868949</v>
      </c>
      <c r="G23" s="14"/>
      <c r="H23" s="14"/>
      <c r="I23" s="13"/>
    </row>
    <row r="24" spans="1:9" ht="15.4" x14ac:dyDescent="0.4">
      <c r="A24" s="18" t="s">
        <v>29</v>
      </c>
      <c r="B24" s="18" t="s">
        <v>20</v>
      </c>
      <c r="C24" s="2" t="s">
        <v>8</v>
      </c>
      <c r="D24" s="3">
        <v>2927.46</v>
      </c>
      <c r="E24" s="19">
        <v>38.960075600000003</v>
      </c>
      <c r="F24" s="19">
        <v>-106.9856449</v>
      </c>
      <c r="G24" s="14">
        <f>(E24+E25+E26)/3</f>
        <v>38.960083233333336</v>
      </c>
      <c r="H24" s="14">
        <f>(F24+F25+F26)/3</f>
        <v>-106.98564060000001</v>
      </c>
      <c r="I24" s="13">
        <f>AVERAGE(D24:D26)</f>
        <v>2927.6133333333332</v>
      </c>
    </row>
    <row r="25" spans="1:9" ht="15.4" x14ac:dyDescent="0.4">
      <c r="A25" s="18"/>
      <c r="B25" s="18"/>
      <c r="C25" s="2" t="s">
        <v>10</v>
      </c>
      <c r="D25" s="3">
        <v>2927.79</v>
      </c>
      <c r="E25" s="19">
        <v>38.960092000000003</v>
      </c>
      <c r="F25" s="19">
        <v>-106.9856532</v>
      </c>
      <c r="G25" s="14"/>
      <c r="H25" s="14"/>
      <c r="I25" s="13"/>
    </row>
    <row r="26" spans="1:9" ht="15.75" thickBot="1" x14ac:dyDescent="0.45">
      <c r="A26" s="18"/>
      <c r="B26" s="18"/>
      <c r="C26" s="2" t="s">
        <v>14</v>
      </c>
      <c r="D26" s="4">
        <v>2927.59</v>
      </c>
      <c r="E26" s="20">
        <v>38.960082100000001</v>
      </c>
      <c r="F26" s="20">
        <v>-106.9856237</v>
      </c>
      <c r="G26" s="14"/>
      <c r="H26" s="14"/>
      <c r="I26" s="13"/>
    </row>
    <row r="27" spans="1:9" ht="15.4" x14ac:dyDescent="0.4">
      <c r="A27" s="18" t="s">
        <v>30</v>
      </c>
      <c r="B27" s="18" t="s">
        <v>21</v>
      </c>
      <c r="C27" s="2" t="s">
        <v>14</v>
      </c>
      <c r="D27" s="3">
        <v>2972.44</v>
      </c>
      <c r="E27" s="19">
        <v>38.962860499999998</v>
      </c>
      <c r="F27" s="19">
        <v>-106.98706970000001</v>
      </c>
      <c r="G27" s="14">
        <f>(E27+E28+E29+E30)/4</f>
        <v>38.962878099999998</v>
      </c>
      <c r="H27" s="14">
        <f>(F27+F28+F29+F30)/4</f>
        <v>-106.987070225</v>
      </c>
      <c r="I27" s="13">
        <f>AVERAGE(D27:D30)</f>
        <v>2973.1025</v>
      </c>
    </row>
    <row r="28" spans="1:9" ht="15.4" x14ac:dyDescent="0.4">
      <c r="A28" s="18"/>
      <c r="B28" s="18"/>
      <c r="C28" s="2" t="s">
        <v>10</v>
      </c>
      <c r="D28" s="3">
        <v>2973.45</v>
      </c>
      <c r="E28" s="19">
        <v>38.962892600000004</v>
      </c>
      <c r="F28" s="19">
        <v>-106.98707159999999</v>
      </c>
      <c r="G28" s="14"/>
      <c r="H28" s="14"/>
      <c r="I28" s="13"/>
    </row>
    <row r="29" spans="1:9" ht="15.4" x14ac:dyDescent="0.4">
      <c r="A29" s="18"/>
      <c r="B29" s="18"/>
      <c r="C29" s="2" t="s">
        <v>12</v>
      </c>
      <c r="D29" s="3">
        <v>2973.15</v>
      </c>
      <c r="E29" s="19">
        <v>38.962880800000001</v>
      </c>
      <c r="F29" s="19">
        <v>-106.9870543</v>
      </c>
      <c r="G29" s="14"/>
      <c r="H29" s="14"/>
      <c r="I29" s="13"/>
    </row>
    <row r="30" spans="1:9" ht="15.75" thickBot="1" x14ac:dyDescent="0.45">
      <c r="A30" s="18"/>
      <c r="B30" s="18"/>
      <c r="C30" s="2" t="s">
        <v>8</v>
      </c>
      <c r="D30" s="4">
        <v>2973.37</v>
      </c>
      <c r="E30" s="20">
        <v>38.962878500000002</v>
      </c>
      <c r="F30" s="20">
        <v>-106.9870853</v>
      </c>
      <c r="G30" s="14"/>
      <c r="H30" s="14"/>
      <c r="I30" s="13"/>
    </row>
    <row r="31" spans="1:9" ht="15.4" x14ac:dyDescent="0.4">
      <c r="A31" s="18" t="s">
        <v>31</v>
      </c>
      <c r="B31" s="18" t="s">
        <v>22</v>
      </c>
      <c r="C31" s="2" t="s">
        <v>10</v>
      </c>
      <c r="D31" s="3">
        <v>2957.7</v>
      </c>
      <c r="E31" s="19">
        <v>38.961419900000003</v>
      </c>
      <c r="F31" s="19">
        <v>-106.9861542</v>
      </c>
      <c r="G31" s="14">
        <f>(E31+E32+E33+E34)/4</f>
        <v>38.961412100000004</v>
      </c>
      <c r="H31" s="14">
        <f>(F31+F32+F33+F34)/4</f>
        <v>-106.9861456</v>
      </c>
      <c r="I31" s="13">
        <f>AVERAGE(D31:D34)</f>
        <v>2958.97</v>
      </c>
    </row>
    <row r="32" spans="1:9" ht="15.4" x14ac:dyDescent="0.4">
      <c r="A32" s="18"/>
      <c r="B32" s="18"/>
      <c r="C32" s="2" t="s">
        <v>12</v>
      </c>
      <c r="D32" s="3">
        <v>2958.3</v>
      </c>
      <c r="E32" s="19">
        <v>38.961418600000002</v>
      </c>
      <c r="F32" s="19">
        <v>-106.98613779999999</v>
      </c>
      <c r="G32" s="14"/>
      <c r="H32" s="14"/>
      <c r="I32" s="13"/>
    </row>
    <row r="33" spans="1:9" ht="15.4" x14ac:dyDescent="0.4">
      <c r="A33" s="18"/>
      <c r="B33" s="18"/>
      <c r="C33" s="2" t="s">
        <v>14</v>
      </c>
      <c r="D33" s="3">
        <v>2960.32</v>
      </c>
      <c r="E33" s="19">
        <v>38.961399</v>
      </c>
      <c r="F33" s="19">
        <v>-106.98612300000001</v>
      </c>
      <c r="G33" s="14"/>
      <c r="H33" s="14"/>
      <c r="I33" s="13"/>
    </row>
    <row r="34" spans="1:9" ht="15.75" thickBot="1" x14ac:dyDescent="0.45">
      <c r="A34" s="18"/>
      <c r="B34" s="18"/>
      <c r="C34" s="2" t="s">
        <v>8</v>
      </c>
      <c r="D34" s="4">
        <v>2959.56</v>
      </c>
      <c r="E34" s="20">
        <v>38.961410899999997</v>
      </c>
      <c r="F34" s="20">
        <v>-106.9861674</v>
      </c>
      <c r="G34" s="14"/>
      <c r="H34" s="14"/>
      <c r="I34" s="13"/>
    </row>
    <row r="35" spans="1:9" x14ac:dyDescent="0.4">
      <c r="A35" s="7"/>
      <c r="B35" s="7"/>
      <c r="C35" s="8"/>
      <c r="D35" s="7"/>
      <c r="E35" s="7"/>
      <c r="F35" s="7"/>
    </row>
    <row r="36" spans="1:9" ht="15.4" x14ac:dyDescent="0.4">
      <c r="A36" s="18" t="s">
        <v>39</v>
      </c>
      <c r="B36" s="18" t="s">
        <v>34</v>
      </c>
      <c r="C36" s="3" t="s">
        <v>9</v>
      </c>
      <c r="D36" s="3">
        <v>2870.35</v>
      </c>
      <c r="E36" s="19">
        <v>38.956083700000001</v>
      </c>
      <c r="F36" s="19">
        <v>-106.9883057</v>
      </c>
      <c r="G36" s="14">
        <f>(E36+E37+E38+E39)/4</f>
        <v>38.956072375000005</v>
      </c>
      <c r="H36" s="14">
        <f>(F36+F37+F38+F39)/4</f>
        <v>-106.98829995</v>
      </c>
      <c r="I36" s="13">
        <f>AVERAGE(D36:D39)</f>
        <v>2870.4025000000001</v>
      </c>
    </row>
    <row r="37" spans="1:9" ht="15.4" x14ac:dyDescent="0.4">
      <c r="A37" s="18"/>
      <c r="B37" s="18"/>
      <c r="C37" s="3" t="s">
        <v>11</v>
      </c>
      <c r="D37" s="3">
        <v>2870.47</v>
      </c>
      <c r="E37" s="19">
        <v>38.956077200000003</v>
      </c>
      <c r="F37" s="19">
        <v>-106.988285</v>
      </c>
      <c r="G37" s="14"/>
      <c r="H37" s="14"/>
      <c r="I37" s="13"/>
    </row>
    <row r="38" spans="1:9" ht="15.4" x14ac:dyDescent="0.4">
      <c r="A38" s="18"/>
      <c r="B38" s="18"/>
      <c r="C38" s="3" t="s">
        <v>13</v>
      </c>
      <c r="D38" s="3">
        <v>2870.43</v>
      </c>
      <c r="E38" s="19">
        <v>38.956061400000003</v>
      </c>
      <c r="F38" s="19">
        <v>-106.98829379999999</v>
      </c>
      <c r="G38" s="14"/>
      <c r="H38" s="14"/>
      <c r="I38" s="13"/>
    </row>
    <row r="39" spans="1:9" ht="15.75" thickBot="1" x14ac:dyDescent="0.45">
      <c r="A39" s="18"/>
      <c r="B39" s="18"/>
      <c r="C39" s="4" t="s">
        <v>7</v>
      </c>
      <c r="D39" s="4">
        <v>2870.36</v>
      </c>
      <c r="E39" s="20">
        <v>38.9560672</v>
      </c>
      <c r="F39" s="20">
        <v>-106.9883153</v>
      </c>
      <c r="G39" s="14"/>
      <c r="H39" s="14"/>
      <c r="I39" s="13"/>
    </row>
    <row r="40" spans="1:9" ht="15" customHeight="1" x14ac:dyDescent="0.4">
      <c r="A40" s="18" t="s">
        <v>40</v>
      </c>
      <c r="B40" s="18" t="s">
        <v>35</v>
      </c>
      <c r="C40" s="3" t="s">
        <v>11</v>
      </c>
      <c r="D40" s="3">
        <v>2866.37</v>
      </c>
      <c r="E40" s="19">
        <v>38.9554276</v>
      </c>
      <c r="F40" s="19">
        <v>-106.9891437</v>
      </c>
      <c r="G40" s="14">
        <f>(E40+E41+E42+E43)/4</f>
        <v>38.955416149999998</v>
      </c>
      <c r="H40" s="14">
        <f>(F40+F41+F42+F43)/4</f>
        <v>-106.98914922500001</v>
      </c>
      <c r="I40" s="13">
        <f>AVERAGE(D40:D43)</f>
        <v>2866.1750000000002</v>
      </c>
    </row>
    <row r="41" spans="1:9" ht="15" customHeight="1" x14ac:dyDescent="0.4">
      <c r="A41" s="18"/>
      <c r="B41" s="18"/>
      <c r="C41" s="3" t="s">
        <v>9</v>
      </c>
      <c r="D41" s="3">
        <v>2866.32</v>
      </c>
      <c r="E41" s="19">
        <v>38.9554203</v>
      </c>
      <c r="F41" s="19">
        <v>-106.9891642</v>
      </c>
      <c r="G41" s="14"/>
      <c r="H41" s="14"/>
      <c r="I41" s="13"/>
    </row>
    <row r="42" spans="1:9" ht="15" customHeight="1" x14ac:dyDescent="0.4">
      <c r="A42" s="18"/>
      <c r="B42" s="18"/>
      <c r="C42" s="3" t="s">
        <v>7</v>
      </c>
      <c r="D42" s="3">
        <v>2865.86</v>
      </c>
      <c r="E42" s="19">
        <v>38.955404700000003</v>
      </c>
      <c r="F42" s="19">
        <v>-106.989155</v>
      </c>
      <c r="G42" s="14"/>
      <c r="H42" s="14"/>
      <c r="I42" s="13"/>
    </row>
    <row r="43" spans="1:9" ht="15" customHeight="1" thickBot="1" x14ac:dyDescent="0.45">
      <c r="A43" s="18"/>
      <c r="B43" s="18"/>
      <c r="C43" s="4" t="s">
        <v>13</v>
      </c>
      <c r="D43" s="4">
        <v>2866.15</v>
      </c>
      <c r="E43" s="20">
        <v>38.955412000000003</v>
      </c>
      <c r="F43" s="20">
        <v>-106.98913400000001</v>
      </c>
      <c r="G43" s="14"/>
      <c r="H43" s="14"/>
      <c r="I43" s="13"/>
    </row>
    <row r="44" spans="1:9" ht="15" customHeight="1" x14ac:dyDescent="0.4">
      <c r="A44" s="18" t="s">
        <v>41</v>
      </c>
      <c r="B44" s="18" t="s">
        <v>36</v>
      </c>
      <c r="C44" s="3" t="s">
        <v>13</v>
      </c>
      <c r="D44" s="3">
        <v>2868.37</v>
      </c>
      <c r="E44" s="19">
        <v>38.955914800000002</v>
      </c>
      <c r="F44" s="19">
        <v>-106.9887726</v>
      </c>
      <c r="G44" s="14">
        <f>(E44+E45+E46+E47)/4</f>
        <v>38.955923425000002</v>
      </c>
      <c r="H44" s="14">
        <f>(F44+F45+F46+F47)/4</f>
        <v>-106.98878500000001</v>
      </c>
      <c r="I44" s="13">
        <f>AVERAGE(D44:D47)</f>
        <v>2868.36</v>
      </c>
    </row>
    <row r="45" spans="1:9" ht="15" customHeight="1" x14ac:dyDescent="0.4">
      <c r="A45" s="18"/>
      <c r="B45" s="18"/>
      <c r="C45" s="3" t="s">
        <v>7</v>
      </c>
      <c r="D45" s="3">
        <v>2868.23</v>
      </c>
      <c r="E45" s="19">
        <v>38.955913799999998</v>
      </c>
      <c r="F45" s="19">
        <v>-106.9887961</v>
      </c>
      <c r="G45" s="14"/>
      <c r="H45" s="14"/>
      <c r="I45" s="13"/>
    </row>
    <row r="46" spans="1:9" ht="15" customHeight="1" x14ac:dyDescent="0.4">
      <c r="A46" s="18"/>
      <c r="B46" s="18"/>
      <c r="C46" s="3" t="s">
        <v>9</v>
      </c>
      <c r="D46" s="3">
        <v>2868.36</v>
      </c>
      <c r="E46" s="19">
        <v>38.955931999999997</v>
      </c>
      <c r="F46" s="19">
        <v>-106.9887968</v>
      </c>
      <c r="G46" s="14"/>
      <c r="H46" s="14"/>
      <c r="I46" s="13"/>
    </row>
    <row r="47" spans="1:9" ht="15" customHeight="1" thickBot="1" x14ac:dyDescent="0.45">
      <c r="A47" s="18"/>
      <c r="B47" s="18"/>
      <c r="C47" s="4" t="s">
        <v>11</v>
      </c>
      <c r="D47" s="4">
        <v>2868.48</v>
      </c>
      <c r="E47" s="20">
        <v>38.955933100000003</v>
      </c>
      <c r="F47" s="20">
        <v>-106.98877450000001</v>
      </c>
      <c r="G47" s="14"/>
      <c r="H47" s="14"/>
      <c r="I47" s="13"/>
    </row>
    <row r="48" spans="1:9" ht="15" customHeight="1" x14ac:dyDescent="0.4">
      <c r="A48" s="18" t="s">
        <v>42</v>
      </c>
      <c r="B48" s="18" t="s">
        <v>37</v>
      </c>
      <c r="C48" s="3" t="s">
        <v>43</v>
      </c>
      <c r="D48" s="3">
        <v>2868.25</v>
      </c>
      <c r="E48" s="19">
        <v>38.955677000000001</v>
      </c>
      <c r="F48" s="19">
        <v>-106.98878929999999</v>
      </c>
      <c r="G48" s="14">
        <f>(E48+E49+E50+E51)/4</f>
        <v>38.955664400000003</v>
      </c>
      <c r="H48" s="14">
        <f>(F48+F49+F50+F51)/4</f>
        <v>-106.98878955000001</v>
      </c>
      <c r="I48" s="13">
        <f>AVERAGE(D48:D50)</f>
        <v>2868.1333333333332</v>
      </c>
    </row>
    <row r="49" spans="1:9" ht="15" customHeight="1" x14ac:dyDescent="0.4">
      <c r="A49" s="18"/>
      <c r="B49" s="18"/>
      <c r="C49" s="3" t="s">
        <v>44</v>
      </c>
      <c r="D49" s="3">
        <v>2867.89</v>
      </c>
      <c r="E49" s="19">
        <v>38.955663899999998</v>
      </c>
      <c r="F49" s="19">
        <v>-106.9887731</v>
      </c>
      <c r="G49" s="14"/>
      <c r="H49" s="14"/>
      <c r="I49" s="13"/>
    </row>
    <row r="50" spans="1:9" ht="15" customHeight="1" x14ac:dyDescent="0.4">
      <c r="A50" s="18"/>
      <c r="B50" s="18"/>
      <c r="C50" s="3" t="s">
        <v>45</v>
      </c>
      <c r="D50" s="3">
        <v>2868.26</v>
      </c>
      <c r="E50" s="19">
        <v>38.955652100000002</v>
      </c>
      <c r="F50" s="19">
        <v>-106.98879030000001</v>
      </c>
      <c r="G50" s="14"/>
      <c r="H50" s="14"/>
      <c r="I50" s="13"/>
    </row>
    <row r="51" spans="1:9" ht="15" customHeight="1" thickBot="1" x14ac:dyDescent="0.45">
      <c r="A51" s="18"/>
      <c r="B51" s="18"/>
      <c r="C51" s="4" t="s">
        <v>46</v>
      </c>
      <c r="D51" s="4">
        <v>2868.11</v>
      </c>
      <c r="E51" s="20">
        <v>38.955664599999999</v>
      </c>
      <c r="F51" s="20">
        <v>-106.9888055</v>
      </c>
      <c r="G51" s="14"/>
      <c r="H51" s="14"/>
      <c r="I51" s="13"/>
    </row>
    <row r="52" spans="1:9" ht="15" customHeight="1" x14ac:dyDescent="0.4">
      <c r="A52" s="18" t="s">
        <v>47</v>
      </c>
      <c r="B52" s="18" t="s">
        <v>38</v>
      </c>
      <c r="C52" s="3" t="s">
        <v>11</v>
      </c>
      <c r="D52" s="3">
        <v>2867.09</v>
      </c>
      <c r="E52" s="19">
        <v>38.9555711</v>
      </c>
      <c r="F52" s="19">
        <v>-106.9889402</v>
      </c>
      <c r="G52" s="14">
        <f>(E52+E53+E54+E55)/4</f>
        <v>38.955559950000001</v>
      </c>
      <c r="H52" s="14">
        <f>(F52+F53+F54+F55)/4</f>
        <v>-106.98894829999999</v>
      </c>
      <c r="I52" s="13">
        <f>AVERAGE(D52:D55)</f>
        <v>2867.085</v>
      </c>
    </row>
    <row r="53" spans="1:9" ht="15" customHeight="1" x14ac:dyDescent="0.4">
      <c r="A53" s="18"/>
      <c r="B53" s="18"/>
      <c r="C53" s="3" t="s">
        <v>13</v>
      </c>
      <c r="D53" s="3">
        <v>2867.12</v>
      </c>
      <c r="E53" s="19">
        <v>38.955553700000003</v>
      </c>
      <c r="F53" s="19">
        <v>-106.988934</v>
      </c>
      <c r="G53" s="14"/>
      <c r="H53" s="14"/>
      <c r="I53" s="13"/>
    </row>
    <row r="54" spans="1:9" ht="15" customHeight="1" x14ac:dyDescent="0.4">
      <c r="A54" s="18"/>
      <c r="B54" s="18"/>
      <c r="C54" s="3" t="s">
        <v>7</v>
      </c>
      <c r="D54" s="3">
        <v>2867.12</v>
      </c>
      <c r="E54" s="19">
        <v>38.955548899999997</v>
      </c>
      <c r="F54" s="19">
        <v>-106.98895640000001</v>
      </c>
      <c r="G54" s="14"/>
      <c r="H54" s="14"/>
      <c r="I54" s="13"/>
    </row>
    <row r="55" spans="1:9" ht="15" customHeight="1" thickBot="1" x14ac:dyDescent="0.45">
      <c r="A55" s="18"/>
      <c r="B55" s="18"/>
      <c r="C55" s="4" t="s">
        <v>9</v>
      </c>
      <c r="D55" s="4">
        <v>2867.01</v>
      </c>
      <c r="E55" s="20">
        <v>38.955566099999999</v>
      </c>
      <c r="F55" s="20">
        <v>-106.98896259999999</v>
      </c>
      <c r="G55" s="14"/>
      <c r="H55" s="14"/>
      <c r="I55" s="13"/>
    </row>
    <row r="56" spans="1:9" x14ac:dyDescent="0.4">
      <c r="A56" s="7"/>
      <c r="B56" s="7"/>
      <c r="C56" s="8"/>
      <c r="D56" s="7"/>
      <c r="E56" s="7"/>
      <c r="F56" s="7"/>
    </row>
    <row r="57" spans="1:9" ht="15.4" x14ac:dyDescent="0.4">
      <c r="A57" s="17" t="s">
        <v>50</v>
      </c>
      <c r="B57" s="15" t="s">
        <v>48</v>
      </c>
      <c r="C57" s="3" t="s">
        <v>9</v>
      </c>
      <c r="D57" s="3">
        <v>2864.91</v>
      </c>
      <c r="E57" s="19">
        <v>38.954593000000003</v>
      </c>
      <c r="F57" s="19">
        <v>-106.98883650000001</v>
      </c>
      <c r="G57" s="14">
        <f>(E57+E58+E59+E60)/4</f>
        <v>38.954586925000001</v>
      </c>
      <c r="H57" s="14">
        <f>(F57+F58+F59+F60)/4</f>
        <v>-106.988823225</v>
      </c>
      <c r="I57" s="13">
        <f>AVERAGE(D57:D60)</f>
        <v>2864.9549999999999</v>
      </c>
    </row>
    <row r="58" spans="1:9" ht="15.4" x14ac:dyDescent="0.4">
      <c r="A58" s="17"/>
      <c r="B58" s="15"/>
      <c r="C58" s="3" t="s">
        <v>11</v>
      </c>
      <c r="D58" s="3">
        <v>2865.07</v>
      </c>
      <c r="E58" s="19">
        <v>38.954597399999997</v>
      </c>
      <c r="F58" s="19">
        <v>-106.9888157</v>
      </c>
      <c r="G58" s="14"/>
      <c r="H58" s="14"/>
      <c r="I58" s="13"/>
    </row>
    <row r="59" spans="1:9" ht="15.4" x14ac:dyDescent="0.4">
      <c r="A59" s="17"/>
      <c r="B59" s="15"/>
      <c r="C59" s="3" t="s">
        <v>13</v>
      </c>
      <c r="D59" s="3">
        <v>2864.92</v>
      </c>
      <c r="E59" s="19">
        <v>38.954581300000001</v>
      </c>
      <c r="F59" s="19">
        <v>-106.9888097</v>
      </c>
      <c r="G59" s="14"/>
      <c r="H59" s="14"/>
      <c r="I59" s="13"/>
    </row>
    <row r="60" spans="1:9" ht="15.75" thickBot="1" x14ac:dyDescent="0.45">
      <c r="A60" s="17"/>
      <c r="B60" s="15"/>
      <c r="C60" s="4" t="s">
        <v>7</v>
      </c>
      <c r="D60" s="4">
        <v>2864.92</v>
      </c>
      <c r="E60" s="20">
        <v>38.954576000000003</v>
      </c>
      <c r="F60" s="20">
        <v>-106.988831</v>
      </c>
      <c r="G60" s="14"/>
      <c r="H60" s="14"/>
      <c r="I60" s="13"/>
    </row>
    <row r="61" spans="1:9" ht="15.4" x14ac:dyDescent="0.4">
      <c r="A61" s="17" t="s">
        <v>51</v>
      </c>
      <c r="B61" s="15" t="s">
        <v>49</v>
      </c>
      <c r="C61" s="3" t="s">
        <v>9</v>
      </c>
      <c r="D61" s="3">
        <v>2864.82</v>
      </c>
      <c r="E61" s="19">
        <v>38.954526999999999</v>
      </c>
      <c r="F61" s="19">
        <v>-106.9888007</v>
      </c>
      <c r="G61" s="14">
        <f>(E61+E62+E63+E64)/4</f>
        <v>38.954522750000002</v>
      </c>
      <c r="H61" s="14">
        <f>(F61+F62+F63+F64)/4</f>
        <v>-106.9887851</v>
      </c>
      <c r="I61" s="13">
        <f>AVERAGE(D61:D64)</f>
        <v>2864.7250000000004</v>
      </c>
    </row>
    <row r="62" spans="1:9" ht="15.4" x14ac:dyDescent="0.4">
      <c r="A62" s="17"/>
      <c r="B62" s="15"/>
      <c r="C62" s="3" t="s">
        <v>7</v>
      </c>
      <c r="D62" s="3">
        <v>2864.73</v>
      </c>
      <c r="E62" s="19">
        <v>38.954511099999998</v>
      </c>
      <c r="F62" s="19">
        <v>-106.98879049999999</v>
      </c>
      <c r="G62" s="14"/>
      <c r="H62" s="14"/>
      <c r="I62" s="13"/>
    </row>
    <row r="63" spans="1:9" ht="15.4" x14ac:dyDescent="0.4">
      <c r="A63" s="17"/>
      <c r="B63" s="15"/>
      <c r="C63" s="3" t="s">
        <v>13</v>
      </c>
      <c r="D63" s="3">
        <v>2864.56</v>
      </c>
      <c r="E63" s="19">
        <v>38.954518399999998</v>
      </c>
      <c r="F63" s="19">
        <v>-106.9887693</v>
      </c>
      <c r="G63" s="14"/>
      <c r="H63" s="14"/>
      <c r="I63" s="13"/>
    </row>
    <row r="64" spans="1:9" ht="15.75" thickBot="1" x14ac:dyDescent="0.45">
      <c r="A64" s="17"/>
      <c r="B64" s="15"/>
      <c r="C64" s="4" t="s">
        <v>11</v>
      </c>
      <c r="D64" s="4">
        <v>2864.79</v>
      </c>
      <c r="E64" s="20">
        <v>38.954534500000001</v>
      </c>
      <c r="F64" s="20">
        <v>-106.9887799</v>
      </c>
      <c r="G64" s="14"/>
      <c r="H64" s="14"/>
      <c r="I64" s="13"/>
    </row>
    <row r="65" spans="1:9" x14ac:dyDescent="0.4">
      <c r="A65" s="7"/>
      <c r="B65" s="7"/>
      <c r="C65" s="8"/>
      <c r="D65" s="7"/>
      <c r="E65" s="7"/>
      <c r="F65" s="7"/>
    </row>
    <row r="66" spans="1:9" ht="15.4" customHeight="1" x14ac:dyDescent="0.4">
      <c r="A66" s="17" t="s">
        <v>53</v>
      </c>
      <c r="B66" s="15" t="s">
        <v>52</v>
      </c>
      <c r="C66" s="3" t="s">
        <v>11</v>
      </c>
      <c r="D66" s="3">
        <v>2864.23</v>
      </c>
      <c r="E66" s="19">
        <v>38.9544505</v>
      </c>
      <c r="F66" s="19">
        <v>-106.9888297</v>
      </c>
      <c r="G66" s="14">
        <f>(E66+E67+E68+E69)/4</f>
        <v>38.954439624999999</v>
      </c>
      <c r="H66" s="14">
        <f>(F66+F67+F68+F69)/4</f>
        <v>-106.988838875</v>
      </c>
      <c r="I66" s="13">
        <f>AVERAGE(D66:D69)</f>
        <v>2864.3750000000005</v>
      </c>
    </row>
    <row r="67" spans="1:9" ht="15.4" customHeight="1" x14ac:dyDescent="0.4">
      <c r="A67" s="17"/>
      <c r="B67" s="15"/>
      <c r="C67" s="3" t="s">
        <v>13</v>
      </c>
      <c r="D67" s="3">
        <v>2864.45</v>
      </c>
      <c r="E67" s="19">
        <v>38.954433000000002</v>
      </c>
      <c r="F67" s="19">
        <v>-106.98882589999999</v>
      </c>
      <c r="G67" s="14"/>
      <c r="H67" s="14"/>
      <c r="I67" s="13"/>
    </row>
    <row r="68" spans="1:9" ht="15.4" customHeight="1" x14ac:dyDescent="0.4">
      <c r="A68" s="17"/>
      <c r="B68" s="15"/>
      <c r="C68" s="3" t="s">
        <v>7</v>
      </c>
      <c r="D68" s="3">
        <v>2864.38</v>
      </c>
      <c r="E68" s="19">
        <v>38.954429099999999</v>
      </c>
      <c r="F68" s="19">
        <v>-106.9888476</v>
      </c>
      <c r="G68" s="14"/>
      <c r="H68" s="14"/>
      <c r="I68" s="13"/>
    </row>
    <row r="69" spans="1:9" ht="15.4" customHeight="1" thickBot="1" x14ac:dyDescent="0.45">
      <c r="A69" s="17"/>
      <c r="B69" s="15"/>
      <c r="C69" s="4" t="s">
        <v>9</v>
      </c>
      <c r="D69" s="4">
        <v>2864.44</v>
      </c>
      <c r="E69" s="20">
        <v>38.954445900000003</v>
      </c>
      <c r="F69" s="20">
        <v>-106.9888523</v>
      </c>
      <c r="G69" s="14"/>
      <c r="H69" s="14"/>
      <c r="I69" s="13"/>
    </row>
    <row r="70" spans="1:9" ht="15.4" x14ac:dyDescent="0.4">
      <c r="A70" s="17" t="s">
        <v>54</v>
      </c>
      <c r="B70" s="15" t="s">
        <v>55</v>
      </c>
      <c r="C70" s="3" t="s">
        <v>7</v>
      </c>
      <c r="D70" s="3">
        <v>2865.22</v>
      </c>
      <c r="E70" s="19">
        <v>38.954502300000001</v>
      </c>
      <c r="F70" s="19">
        <v>-106.9884497</v>
      </c>
      <c r="G70" s="14">
        <f>(E70+E71+E72+E73)/4</f>
        <v>38.954511199999999</v>
      </c>
      <c r="H70" s="14">
        <f>(F70+F71+F72+F73)/4</f>
        <v>-106.988438825</v>
      </c>
      <c r="I70" s="13">
        <f>AVERAGE(D70:D73)</f>
        <v>2865.2049999999999</v>
      </c>
    </row>
    <row r="71" spans="1:9" ht="15.4" x14ac:dyDescent="0.4">
      <c r="A71" s="17"/>
      <c r="B71" s="15"/>
      <c r="C71" s="3" t="s">
        <v>9</v>
      </c>
      <c r="D71" s="3">
        <v>2865.21</v>
      </c>
      <c r="E71" s="19">
        <v>38.954519900000001</v>
      </c>
      <c r="F71" s="19">
        <v>-106.9884503</v>
      </c>
      <c r="G71" s="14"/>
      <c r="H71" s="14"/>
      <c r="I71" s="13"/>
    </row>
    <row r="72" spans="1:9" ht="15.4" x14ac:dyDescent="0.4">
      <c r="A72" s="17"/>
      <c r="B72" s="15"/>
      <c r="C72" s="3" t="s">
        <v>11</v>
      </c>
      <c r="D72" s="3">
        <v>2865.09</v>
      </c>
      <c r="E72" s="19">
        <v>38.954520199999997</v>
      </c>
      <c r="F72" s="19">
        <v>-106.9884275</v>
      </c>
      <c r="G72" s="14"/>
      <c r="H72" s="14"/>
      <c r="I72" s="13"/>
    </row>
    <row r="73" spans="1:9" ht="15.75" thickBot="1" x14ac:dyDescent="0.45">
      <c r="A73" s="17"/>
      <c r="B73" s="15"/>
      <c r="C73" s="4" t="s">
        <v>13</v>
      </c>
      <c r="D73" s="4">
        <v>2865.3</v>
      </c>
      <c r="E73" s="20">
        <v>38.954502400000003</v>
      </c>
      <c r="F73" s="20">
        <v>-106.9884278</v>
      </c>
      <c r="G73" s="14"/>
      <c r="H73" s="14"/>
      <c r="I73" s="13"/>
    </row>
    <row r="74" spans="1:9" x14ac:dyDescent="0.4">
      <c r="A74" s="7"/>
      <c r="B74" s="8"/>
      <c r="C74" s="8"/>
      <c r="D74" s="7"/>
      <c r="E74" s="7"/>
      <c r="F74" s="7"/>
    </row>
    <row r="75" spans="1:9" ht="15.4" customHeight="1" x14ac:dyDescent="0.4">
      <c r="A75" s="16" t="s">
        <v>56</v>
      </c>
      <c r="B75" s="15" t="s">
        <v>57</v>
      </c>
      <c r="C75" s="3" t="s">
        <v>9</v>
      </c>
      <c r="D75" s="3">
        <v>2870.4</v>
      </c>
      <c r="E75" s="19">
        <v>38.956105800000003</v>
      </c>
      <c r="F75" s="19">
        <v>-106.9882927</v>
      </c>
      <c r="G75" s="14">
        <f>(E75+E76+E77+E78)/4</f>
        <v>38.956094399999998</v>
      </c>
      <c r="H75" s="14">
        <f>(F75+F76+F77+F78)/4</f>
        <v>-106.98828642499998</v>
      </c>
      <c r="I75" s="13">
        <f>AVERAGE(D75:D78)</f>
        <v>2870.4050000000002</v>
      </c>
    </row>
    <row r="76" spans="1:9" ht="15.4" customHeight="1" x14ac:dyDescent="0.4">
      <c r="A76" s="16"/>
      <c r="B76" s="15"/>
      <c r="C76" s="3" t="s">
        <v>11</v>
      </c>
      <c r="D76" s="3">
        <v>2870.45</v>
      </c>
      <c r="E76" s="19">
        <v>38.956099199999997</v>
      </c>
      <c r="F76" s="19">
        <v>-106.9882715</v>
      </c>
      <c r="G76" s="14"/>
      <c r="H76" s="14"/>
      <c r="I76" s="13"/>
    </row>
    <row r="77" spans="1:9" ht="15.4" customHeight="1" x14ac:dyDescent="0.4">
      <c r="A77" s="16"/>
      <c r="B77" s="15"/>
      <c r="C77" s="3" t="s">
        <v>13</v>
      </c>
      <c r="D77" s="3">
        <v>2870.42</v>
      </c>
      <c r="E77" s="19">
        <v>38.956082799999997</v>
      </c>
      <c r="F77" s="19">
        <v>-106.9882803</v>
      </c>
      <c r="G77" s="14"/>
      <c r="H77" s="14"/>
      <c r="I77" s="13"/>
    </row>
    <row r="78" spans="1:9" ht="15.4" customHeight="1" thickBot="1" x14ac:dyDescent="0.45">
      <c r="A78" s="16"/>
      <c r="B78" s="15"/>
      <c r="C78" s="4" t="s">
        <v>7</v>
      </c>
      <c r="D78" s="4">
        <v>2870.35</v>
      </c>
      <c r="E78" s="20">
        <v>38.956089800000001</v>
      </c>
      <c r="F78" s="20">
        <v>-106.9883012</v>
      </c>
      <c r="G78" s="14"/>
      <c r="H78" s="14"/>
      <c r="I78" s="13"/>
    </row>
    <row r="79" spans="1:9" ht="15.4" x14ac:dyDescent="0.4">
      <c r="A79" s="16" t="s">
        <v>58</v>
      </c>
      <c r="B79" s="15" t="s">
        <v>62</v>
      </c>
      <c r="C79" s="3" t="s">
        <v>13</v>
      </c>
      <c r="D79" s="3">
        <v>2868.5</v>
      </c>
      <c r="E79" s="19">
        <v>38.9559146</v>
      </c>
      <c r="F79" s="19">
        <v>-106.9886837</v>
      </c>
      <c r="G79" s="14">
        <f>(E79+E80+E81+E82)/4</f>
        <v>38.95592285</v>
      </c>
      <c r="H79" s="14">
        <f>(F79+F80+F81+F82)/4</f>
        <v>-106.988695675</v>
      </c>
      <c r="I79" s="13">
        <f>AVERAGE(D79:D82)</f>
        <v>2868.6075000000001</v>
      </c>
    </row>
    <row r="80" spans="1:9" ht="15.4" x14ac:dyDescent="0.4">
      <c r="A80" s="16"/>
      <c r="B80" s="15"/>
      <c r="C80" s="3" t="s">
        <v>7</v>
      </c>
      <c r="D80" s="3">
        <v>2868.59</v>
      </c>
      <c r="E80" s="19">
        <v>38.955913700000004</v>
      </c>
      <c r="F80" s="19">
        <v>-106.9887066</v>
      </c>
      <c r="G80" s="14"/>
      <c r="H80" s="14"/>
      <c r="I80" s="13"/>
    </row>
    <row r="81" spans="1:9" ht="15.4" x14ac:dyDescent="0.4">
      <c r="A81" s="16"/>
      <c r="B81" s="15"/>
      <c r="C81" s="3" t="s">
        <v>9</v>
      </c>
      <c r="D81" s="3">
        <v>2868.65</v>
      </c>
      <c r="E81" s="19">
        <v>38.955930899999998</v>
      </c>
      <c r="F81" s="19">
        <v>-106.9887076</v>
      </c>
      <c r="G81" s="14"/>
      <c r="H81" s="14"/>
      <c r="I81" s="13"/>
    </row>
    <row r="82" spans="1:9" ht="15.75" thickBot="1" x14ac:dyDescent="0.45">
      <c r="A82" s="16"/>
      <c r="B82" s="15"/>
      <c r="C82" s="4" t="s">
        <v>11</v>
      </c>
      <c r="D82" s="4">
        <v>2868.69</v>
      </c>
      <c r="E82" s="20">
        <v>38.955932199999999</v>
      </c>
      <c r="F82" s="20">
        <v>-106.9886848</v>
      </c>
      <c r="G82" s="14"/>
      <c r="H82" s="14"/>
      <c r="I82" s="13"/>
    </row>
    <row r="83" spans="1:9" ht="15.4" x14ac:dyDescent="0.4">
      <c r="A83" s="16" t="s">
        <v>59</v>
      </c>
      <c r="B83" s="15" t="s">
        <v>63</v>
      </c>
      <c r="C83" s="3" t="s">
        <v>11</v>
      </c>
      <c r="D83" s="3">
        <v>2867.71</v>
      </c>
      <c r="E83" s="19">
        <v>38.955702100000003</v>
      </c>
      <c r="F83" s="19">
        <v>-106.9888467</v>
      </c>
      <c r="G83" s="14">
        <f>(E83+E84+E85+E86)/4</f>
        <v>38.955694000000001</v>
      </c>
      <c r="H83" s="14">
        <f>(F83+F84+F85+F86)/4</f>
        <v>-106.988858475</v>
      </c>
      <c r="I83" s="13">
        <f>AVERAGE(D83:D86)</f>
        <v>2867.6350000000002</v>
      </c>
    </row>
    <row r="84" spans="1:9" ht="15.4" x14ac:dyDescent="0.4">
      <c r="A84" s="16"/>
      <c r="B84" s="15"/>
      <c r="C84" s="3" t="s">
        <v>13</v>
      </c>
      <c r="D84" s="3">
        <v>2867.63</v>
      </c>
      <c r="E84" s="19">
        <v>38.955683899999997</v>
      </c>
      <c r="F84" s="19">
        <v>-106.988848</v>
      </c>
      <c r="G84" s="14"/>
      <c r="H84" s="14"/>
      <c r="I84" s="13"/>
    </row>
    <row r="85" spans="1:9" ht="15.4" x14ac:dyDescent="0.4">
      <c r="A85" s="16"/>
      <c r="B85" s="15"/>
      <c r="C85" s="3" t="s">
        <v>7</v>
      </c>
      <c r="D85" s="3">
        <v>2867.63</v>
      </c>
      <c r="E85" s="19">
        <v>38.955686100000001</v>
      </c>
      <c r="F85" s="19">
        <v>-106.9888701</v>
      </c>
      <c r="G85" s="14"/>
      <c r="H85" s="14"/>
      <c r="I85" s="13"/>
    </row>
    <row r="86" spans="1:9" ht="15.75" thickBot="1" x14ac:dyDescent="0.45">
      <c r="A86" s="16"/>
      <c r="B86" s="15"/>
      <c r="C86" s="4" t="s">
        <v>9</v>
      </c>
      <c r="D86" s="4">
        <v>2867.57</v>
      </c>
      <c r="E86" s="20">
        <v>38.955703900000003</v>
      </c>
      <c r="F86" s="20">
        <v>-106.9888691</v>
      </c>
      <c r="G86" s="14"/>
      <c r="H86" s="14"/>
      <c r="I86" s="13"/>
    </row>
    <row r="87" spans="1:9" ht="15.4" x14ac:dyDescent="0.4">
      <c r="A87" s="16" t="s">
        <v>60</v>
      </c>
      <c r="B87" s="15" t="s">
        <v>64</v>
      </c>
      <c r="C87" s="3" t="s">
        <v>13</v>
      </c>
      <c r="D87" s="3">
        <v>2866.96</v>
      </c>
      <c r="E87" s="19">
        <v>38.9555784</v>
      </c>
      <c r="F87" s="19">
        <v>-106.9890092</v>
      </c>
      <c r="G87" s="14">
        <f>(E87+E88+E89+E90)/4</f>
        <v>38.955586525000001</v>
      </c>
      <c r="H87" s="14">
        <f>(F87+F88+F89+F90)/4</f>
        <v>-106.98902079999999</v>
      </c>
      <c r="I87" s="13">
        <f>AVERAGE(D87:D90)</f>
        <v>2866.9425000000001</v>
      </c>
    </row>
    <row r="88" spans="1:9" ht="15.4" x14ac:dyDescent="0.4">
      <c r="A88" s="16"/>
      <c r="B88" s="15"/>
      <c r="C88" s="3" t="s">
        <v>7</v>
      </c>
      <c r="D88" s="3">
        <v>2866.96</v>
      </c>
      <c r="E88" s="19">
        <v>38.955576999999998</v>
      </c>
      <c r="F88" s="19">
        <v>-106.98903129999999</v>
      </c>
      <c r="G88" s="14"/>
      <c r="H88" s="14"/>
      <c r="I88" s="13"/>
    </row>
    <row r="89" spans="1:9" ht="15.4" x14ac:dyDescent="0.4">
      <c r="A89" s="16"/>
      <c r="B89" s="15"/>
      <c r="C89" s="3" t="s">
        <v>9</v>
      </c>
      <c r="D89" s="3">
        <v>2866.99</v>
      </c>
      <c r="E89" s="19">
        <v>38.955594699999999</v>
      </c>
      <c r="F89" s="19">
        <v>-106.98903249999999</v>
      </c>
      <c r="G89" s="14"/>
      <c r="H89" s="14"/>
      <c r="I89" s="13"/>
    </row>
    <row r="90" spans="1:9" ht="15.75" thickBot="1" x14ac:dyDescent="0.45">
      <c r="A90" s="16"/>
      <c r="B90" s="15"/>
      <c r="C90" s="4" t="s">
        <v>11</v>
      </c>
      <c r="D90" s="4">
        <v>2866.86</v>
      </c>
      <c r="E90" s="20">
        <v>38.955596</v>
      </c>
      <c r="F90" s="20">
        <v>-106.9890102</v>
      </c>
      <c r="G90" s="14"/>
      <c r="H90" s="14"/>
      <c r="I90" s="13"/>
    </row>
    <row r="91" spans="1:9" ht="15.4" x14ac:dyDescent="0.4">
      <c r="A91" s="16" t="s">
        <v>61</v>
      </c>
      <c r="B91" s="15" t="s">
        <v>65</v>
      </c>
      <c r="C91" s="3" t="s">
        <v>11</v>
      </c>
      <c r="D91" s="3">
        <v>2866.12</v>
      </c>
      <c r="E91" s="19">
        <v>38.955403699999998</v>
      </c>
      <c r="F91" s="19">
        <v>-106.9891286</v>
      </c>
      <c r="G91" s="14">
        <f>(E91+E92+E93+E94)/4</f>
        <v>38.955392224999997</v>
      </c>
      <c r="H91" s="14">
        <f>(F91+F92+F93+F94)/4</f>
        <v>-106.98913387499999</v>
      </c>
      <c r="I91" s="13">
        <f>AVERAGE(D91:D94)</f>
        <v>2866.0024999999996</v>
      </c>
    </row>
    <row r="92" spans="1:9" ht="15.4" x14ac:dyDescent="0.4">
      <c r="A92" s="16"/>
      <c r="B92" s="15"/>
      <c r="C92" s="3" t="s">
        <v>13</v>
      </c>
      <c r="D92" s="3">
        <v>2866.03</v>
      </c>
      <c r="E92" s="19">
        <v>38.955387899999998</v>
      </c>
      <c r="F92" s="19">
        <v>-106.98911819999999</v>
      </c>
      <c r="G92" s="14"/>
      <c r="H92" s="14"/>
      <c r="I92" s="13"/>
    </row>
    <row r="93" spans="1:9" ht="15.4" x14ac:dyDescent="0.4">
      <c r="A93" s="16"/>
      <c r="B93" s="15"/>
      <c r="C93" s="3" t="s">
        <v>7</v>
      </c>
      <c r="D93" s="3">
        <v>2865.97</v>
      </c>
      <c r="E93" s="19">
        <v>38.955381000000003</v>
      </c>
      <c r="F93" s="19">
        <v>-106.98913880000001</v>
      </c>
      <c r="G93" s="14"/>
      <c r="H93" s="14"/>
      <c r="I93" s="13"/>
    </row>
    <row r="94" spans="1:9" ht="15.75" thickBot="1" x14ac:dyDescent="0.45">
      <c r="A94" s="16"/>
      <c r="B94" s="15"/>
      <c r="C94" s="4" t="s">
        <v>9</v>
      </c>
      <c r="D94" s="4">
        <v>2865.89</v>
      </c>
      <c r="E94" s="20">
        <v>38.955396299999997</v>
      </c>
      <c r="F94" s="20">
        <v>-106.9891499</v>
      </c>
      <c r="G94" s="14"/>
      <c r="H94" s="14"/>
      <c r="I94" s="13"/>
    </row>
    <row r="95" spans="1:9" x14ac:dyDescent="0.4">
      <c r="A95" s="7"/>
      <c r="B95" s="7"/>
      <c r="C95" s="8"/>
      <c r="D95" s="7"/>
      <c r="E95" s="7"/>
      <c r="F95" s="7"/>
    </row>
    <row r="96" spans="1:9" ht="15.4" customHeight="1" x14ac:dyDescent="0.4">
      <c r="A96" s="16" t="s">
        <v>67</v>
      </c>
      <c r="B96" s="15" t="s">
        <v>66</v>
      </c>
      <c r="C96" s="5" t="s">
        <v>74</v>
      </c>
      <c r="D96" s="3">
        <v>2892.26</v>
      </c>
      <c r="E96" s="19">
        <v>38.9550597</v>
      </c>
      <c r="F96" s="19">
        <v>-106.98737300000001</v>
      </c>
      <c r="G96" s="14">
        <f>(E96+E97+E98+E99)/4</f>
        <v>38.955071699999998</v>
      </c>
      <c r="H96" s="14">
        <f>(F96+F97+F98+F99)/4</f>
        <v>-106.98737610000001</v>
      </c>
      <c r="I96" s="13">
        <f>AVERAGE(D96:D99)</f>
        <v>2893.06</v>
      </c>
    </row>
    <row r="97" spans="1:9" ht="15.4" customHeight="1" x14ac:dyDescent="0.4">
      <c r="A97" s="16"/>
      <c r="B97" s="15"/>
      <c r="C97" s="5" t="s">
        <v>74</v>
      </c>
      <c r="D97" s="3">
        <v>2893.6</v>
      </c>
      <c r="E97" s="19">
        <v>38.955072399999999</v>
      </c>
      <c r="F97" s="19">
        <v>-106.98736270000001</v>
      </c>
      <c r="G97" s="14"/>
      <c r="H97" s="14"/>
      <c r="I97" s="13"/>
    </row>
    <row r="98" spans="1:9" ht="15.4" customHeight="1" x14ac:dyDescent="0.4">
      <c r="A98" s="16"/>
      <c r="B98" s="15"/>
      <c r="C98" s="5" t="s">
        <v>74</v>
      </c>
      <c r="D98" s="3">
        <v>2893.72</v>
      </c>
      <c r="E98" s="19">
        <v>38.955082599999997</v>
      </c>
      <c r="F98" s="19">
        <v>-106.98737989999999</v>
      </c>
      <c r="G98" s="14"/>
      <c r="H98" s="14"/>
      <c r="I98" s="13"/>
    </row>
    <row r="99" spans="1:9" ht="15.4" customHeight="1" thickBot="1" x14ac:dyDescent="0.45">
      <c r="A99" s="16"/>
      <c r="B99" s="15"/>
      <c r="C99" s="5" t="s">
        <v>74</v>
      </c>
      <c r="D99" s="4">
        <v>2892.66</v>
      </c>
      <c r="E99" s="20">
        <v>38.955072100000002</v>
      </c>
      <c r="F99" s="20">
        <v>-106.98738880000001</v>
      </c>
      <c r="G99" s="14"/>
      <c r="H99" s="14"/>
      <c r="I99" s="13"/>
    </row>
    <row r="100" spans="1:9" ht="15.4" x14ac:dyDescent="0.4">
      <c r="A100" s="16" t="s">
        <v>68</v>
      </c>
      <c r="B100" s="15" t="s">
        <v>71</v>
      </c>
      <c r="C100" s="5" t="s">
        <v>74</v>
      </c>
      <c r="D100" s="3">
        <v>2891.05</v>
      </c>
      <c r="E100" s="19">
        <v>38.955044999999998</v>
      </c>
      <c r="F100" s="19">
        <v>-106.9874691</v>
      </c>
      <c r="G100" s="14">
        <f>(E100+E101+E102+E103)/4</f>
        <v>38.955058199999996</v>
      </c>
      <c r="H100" s="14">
        <f>(F100+F101+F102+F103)/4</f>
        <v>-106.987468075</v>
      </c>
      <c r="I100" s="13">
        <f>AVERAGE(D100:D103)</f>
        <v>2891.4224999999997</v>
      </c>
    </row>
    <row r="101" spans="1:9" ht="15.4" x14ac:dyDescent="0.4">
      <c r="A101" s="16"/>
      <c r="B101" s="15"/>
      <c r="C101" s="5" t="s">
        <v>74</v>
      </c>
      <c r="D101" s="3">
        <v>2891.7</v>
      </c>
      <c r="E101" s="19">
        <v>38.955056499999998</v>
      </c>
      <c r="F101" s="19">
        <v>-106.9874542</v>
      </c>
      <c r="G101" s="14"/>
      <c r="H101" s="14"/>
      <c r="I101" s="13"/>
    </row>
    <row r="102" spans="1:9" ht="15.4" x14ac:dyDescent="0.4">
      <c r="A102" s="16"/>
      <c r="B102" s="15"/>
      <c r="C102" s="5" t="s">
        <v>74</v>
      </c>
      <c r="D102" s="3">
        <v>2891.9</v>
      </c>
      <c r="E102" s="19">
        <v>38.955071599999997</v>
      </c>
      <c r="F102" s="19">
        <v>-106.9874682</v>
      </c>
      <c r="G102" s="14"/>
      <c r="H102" s="14"/>
      <c r="I102" s="13"/>
    </row>
    <row r="103" spans="1:9" ht="15.75" thickBot="1" x14ac:dyDescent="0.45">
      <c r="A103" s="16"/>
      <c r="B103" s="15"/>
      <c r="C103" s="5" t="s">
        <v>74</v>
      </c>
      <c r="D103" s="4">
        <v>2891.04</v>
      </c>
      <c r="E103" s="20">
        <v>38.9550597</v>
      </c>
      <c r="F103" s="20">
        <v>-106.9874808</v>
      </c>
      <c r="G103" s="14"/>
      <c r="H103" s="14"/>
      <c r="I103" s="13"/>
    </row>
    <row r="104" spans="1:9" ht="15.4" x14ac:dyDescent="0.4">
      <c r="A104" s="16" t="s">
        <v>69</v>
      </c>
      <c r="B104" s="15" t="s">
        <v>72</v>
      </c>
      <c r="C104" s="5" t="s">
        <v>74</v>
      </c>
      <c r="D104" s="3">
        <v>2892.44</v>
      </c>
      <c r="E104" s="19">
        <v>38.955109299999997</v>
      </c>
      <c r="F104" s="19">
        <v>-106.98742319999999</v>
      </c>
      <c r="G104" s="14">
        <f>(E104+E105+E106+E107)/4</f>
        <v>38.9551211</v>
      </c>
      <c r="H104" s="14">
        <f>(F104+F105+F106+F107)/4</f>
        <v>-106.987417725</v>
      </c>
      <c r="I104" s="13">
        <f>AVERAGE(D104:D107)</f>
        <v>2893.0025000000001</v>
      </c>
    </row>
    <row r="105" spans="1:9" ht="15.4" x14ac:dyDescent="0.4">
      <c r="A105" s="16"/>
      <c r="B105" s="15"/>
      <c r="C105" s="5" t="s">
        <v>74</v>
      </c>
      <c r="D105" s="3">
        <v>2893.36</v>
      </c>
      <c r="E105" s="19">
        <v>38.955117299999998</v>
      </c>
      <c r="F105" s="19">
        <v>-106.9874047</v>
      </c>
      <c r="G105" s="14"/>
      <c r="H105" s="14"/>
      <c r="I105" s="13"/>
    </row>
    <row r="106" spans="1:9" ht="15.4" x14ac:dyDescent="0.4">
      <c r="A106" s="16"/>
      <c r="B106" s="15"/>
      <c r="C106" s="5" t="s">
        <v>74</v>
      </c>
      <c r="D106" s="3">
        <v>2893.57</v>
      </c>
      <c r="E106" s="19">
        <v>38.955132599999999</v>
      </c>
      <c r="F106" s="19">
        <v>-106.9874136</v>
      </c>
      <c r="G106" s="14"/>
      <c r="H106" s="14"/>
      <c r="I106" s="13"/>
    </row>
    <row r="107" spans="1:9" ht="15.75" thickBot="1" x14ac:dyDescent="0.45">
      <c r="A107" s="16"/>
      <c r="B107" s="15"/>
      <c r="C107" s="5" t="s">
        <v>74</v>
      </c>
      <c r="D107" s="4">
        <v>2892.64</v>
      </c>
      <c r="E107" s="20">
        <v>38.955125199999998</v>
      </c>
      <c r="F107" s="20">
        <v>-106.9874294</v>
      </c>
      <c r="G107" s="14"/>
      <c r="H107" s="14"/>
      <c r="I107" s="13"/>
    </row>
    <row r="108" spans="1:9" ht="15.4" x14ac:dyDescent="0.4">
      <c r="A108" s="16" t="s">
        <v>70</v>
      </c>
      <c r="B108" s="15" t="s">
        <v>73</v>
      </c>
      <c r="C108" s="5" t="s">
        <v>74</v>
      </c>
      <c r="D108" s="3">
        <v>2891.25</v>
      </c>
      <c r="E108" s="19">
        <v>38.9551765</v>
      </c>
      <c r="F108" s="19">
        <v>-106.9874957</v>
      </c>
      <c r="G108" s="14">
        <f>(E108+E109+E110+E111)/4</f>
        <v>38.9551844</v>
      </c>
      <c r="H108" s="14">
        <f>(F108+F109+F110+F111)/4</f>
        <v>-106.987483125</v>
      </c>
      <c r="I108" s="13">
        <f>AVERAGE(D108:D111)</f>
        <v>2891.83</v>
      </c>
    </row>
    <row r="109" spans="1:9" ht="15.4" x14ac:dyDescent="0.4">
      <c r="A109" s="16"/>
      <c r="B109" s="15"/>
      <c r="C109" s="5" t="s">
        <v>74</v>
      </c>
      <c r="D109" s="3">
        <v>2892.26</v>
      </c>
      <c r="E109" s="19">
        <v>38.9551765</v>
      </c>
      <c r="F109" s="19">
        <v>-106.9874739</v>
      </c>
      <c r="G109" s="14"/>
      <c r="H109" s="14"/>
      <c r="I109" s="13"/>
    </row>
    <row r="110" spans="1:9" ht="15.4" x14ac:dyDescent="0.4">
      <c r="A110" s="16"/>
      <c r="B110" s="15"/>
      <c r="C110" s="5" t="s">
        <v>74</v>
      </c>
      <c r="D110" s="3">
        <v>2892.39</v>
      </c>
      <c r="E110" s="19">
        <v>38.955190899999998</v>
      </c>
      <c r="F110" s="19">
        <v>-106.9874725</v>
      </c>
      <c r="G110" s="14"/>
      <c r="H110" s="14"/>
      <c r="I110" s="13"/>
    </row>
    <row r="111" spans="1:9" ht="15.75" thickBot="1" x14ac:dyDescent="0.45">
      <c r="A111" s="16"/>
      <c r="B111" s="15"/>
      <c r="C111" s="5" t="s">
        <v>74</v>
      </c>
      <c r="D111" s="4">
        <v>2891.42</v>
      </c>
      <c r="E111" s="20">
        <v>38.955193700000002</v>
      </c>
      <c r="F111" s="20">
        <v>-106.9874904</v>
      </c>
      <c r="G111" s="14"/>
      <c r="H111" s="14"/>
      <c r="I111" s="13"/>
    </row>
    <row r="112" spans="1:9" x14ac:dyDescent="0.4">
      <c r="A112" s="7"/>
      <c r="B112" s="7"/>
      <c r="C112" s="8"/>
      <c r="D112" s="7"/>
      <c r="E112" s="7"/>
      <c r="F112" s="7"/>
    </row>
    <row r="113" spans="1:9" ht="15.4" customHeight="1" x14ac:dyDescent="0.4">
      <c r="A113" s="16" t="s">
        <v>75</v>
      </c>
      <c r="B113" s="15" t="s">
        <v>76</v>
      </c>
      <c r="C113" s="3" t="s">
        <v>13</v>
      </c>
      <c r="D113" s="3">
        <v>2870.47</v>
      </c>
      <c r="E113" s="19">
        <v>38.956196400000003</v>
      </c>
      <c r="F113" s="19">
        <v>-106.9883335</v>
      </c>
      <c r="G113" s="14">
        <f>(E113+E114+E115+E116)/4</f>
        <v>38.956201300000004</v>
      </c>
      <c r="H113" s="14">
        <f>(F113+F114+F115+F116)/4</f>
        <v>-106.98834777499999</v>
      </c>
      <c r="I113" s="13">
        <f>AVERAGE(D113:D116)</f>
        <v>2870.5075000000002</v>
      </c>
    </row>
    <row r="114" spans="1:9" ht="15.4" customHeight="1" x14ac:dyDescent="0.4">
      <c r="A114" s="16"/>
      <c r="B114" s="15"/>
      <c r="C114" s="3" t="s">
        <v>7</v>
      </c>
      <c r="D114" s="3">
        <v>2870.43</v>
      </c>
      <c r="E114" s="19">
        <v>38.956189500000001</v>
      </c>
      <c r="F114" s="19">
        <v>-106.98835440000001</v>
      </c>
      <c r="G114" s="14"/>
      <c r="H114" s="14"/>
      <c r="I114" s="13"/>
    </row>
    <row r="115" spans="1:9" ht="15.4" customHeight="1" x14ac:dyDescent="0.4">
      <c r="A115" s="16"/>
      <c r="B115" s="15"/>
      <c r="C115" s="3" t="s">
        <v>9</v>
      </c>
      <c r="D115" s="3">
        <v>2870.52</v>
      </c>
      <c r="E115" s="19">
        <v>38.956206700000003</v>
      </c>
      <c r="F115" s="19">
        <v>-106.98836230000001</v>
      </c>
      <c r="G115" s="14"/>
      <c r="H115" s="14"/>
      <c r="I115" s="13"/>
    </row>
    <row r="116" spans="1:9" ht="15.4" customHeight="1" thickBot="1" x14ac:dyDescent="0.45">
      <c r="A116" s="16"/>
      <c r="B116" s="15"/>
      <c r="C116" s="4" t="s">
        <v>11</v>
      </c>
      <c r="D116" s="4">
        <v>2870.61</v>
      </c>
      <c r="E116" s="20">
        <v>38.956212600000001</v>
      </c>
      <c r="F116" s="20">
        <v>-106.9883409</v>
      </c>
      <c r="G116" s="14"/>
      <c r="H116" s="14"/>
      <c r="I116" s="13"/>
    </row>
    <row r="117" spans="1:9" ht="15.4" x14ac:dyDescent="0.4">
      <c r="A117" s="16" t="s">
        <v>77</v>
      </c>
      <c r="B117" s="15" t="s">
        <v>81</v>
      </c>
      <c r="C117" s="3" t="s">
        <v>13</v>
      </c>
      <c r="D117" s="3">
        <v>2868.67</v>
      </c>
      <c r="E117" s="19">
        <v>38.955971599999998</v>
      </c>
      <c r="F117" s="19">
        <v>-106.98858370000001</v>
      </c>
      <c r="G117" s="14">
        <f>(E117+E118+E119+E120)/4</f>
        <v>38.955971675000001</v>
      </c>
      <c r="H117" s="14">
        <f>(F117+F118+F119+F120)/4</f>
        <v>-106.98859904999999</v>
      </c>
      <c r="I117" s="13">
        <f>AVERAGE(D117:D120)</f>
        <v>2868.8924999999999</v>
      </c>
    </row>
    <row r="118" spans="1:9" ht="15.4" x14ac:dyDescent="0.4">
      <c r="A118" s="16"/>
      <c r="B118" s="15"/>
      <c r="C118" s="3" t="s">
        <v>7</v>
      </c>
      <c r="D118" s="3">
        <v>2868.83</v>
      </c>
      <c r="E118" s="19">
        <v>38.9559584</v>
      </c>
      <c r="F118" s="19">
        <v>-106.9885991</v>
      </c>
      <c r="G118" s="14"/>
      <c r="H118" s="14"/>
      <c r="I118" s="13"/>
    </row>
    <row r="119" spans="1:9" ht="15.4" x14ac:dyDescent="0.4">
      <c r="A119" s="16"/>
      <c r="B119" s="15"/>
      <c r="C119" s="3" t="s">
        <v>9</v>
      </c>
      <c r="D119" s="3">
        <v>2869.09</v>
      </c>
      <c r="E119" s="19">
        <v>38.955972299999999</v>
      </c>
      <c r="F119" s="19">
        <v>-106.9886138</v>
      </c>
      <c r="G119" s="14"/>
      <c r="H119" s="14"/>
      <c r="I119" s="13"/>
    </row>
    <row r="120" spans="1:9" ht="15.75" thickBot="1" x14ac:dyDescent="0.45">
      <c r="A120" s="16"/>
      <c r="B120" s="15"/>
      <c r="C120" s="4" t="s">
        <v>11</v>
      </c>
      <c r="D120" s="4">
        <v>2868.98</v>
      </c>
      <c r="E120" s="20">
        <v>38.955984399999998</v>
      </c>
      <c r="F120" s="20">
        <v>-106.9885996</v>
      </c>
      <c r="G120" s="14"/>
      <c r="H120" s="14"/>
      <c r="I120" s="13"/>
    </row>
    <row r="121" spans="1:9" ht="15.4" x14ac:dyDescent="0.4">
      <c r="A121" s="16" t="s">
        <v>78</v>
      </c>
      <c r="B121" s="15" t="s">
        <v>82</v>
      </c>
      <c r="C121" s="3" t="s">
        <v>9</v>
      </c>
      <c r="D121" s="3">
        <v>2867.72</v>
      </c>
      <c r="E121" s="19">
        <v>38.955765100000001</v>
      </c>
      <c r="F121" s="19">
        <v>-106.9888667</v>
      </c>
      <c r="G121" s="14">
        <f>(E121+E122+E123+E124)/4</f>
        <v>38.955760875000003</v>
      </c>
      <c r="H121" s="14">
        <f>(F121+F122+F123+F124)/4</f>
        <v>-106.9888517</v>
      </c>
      <c r="I121" s="13">
        <f>AVERAGE(D121:D124)</f>
        <v>2867.7424999999998</v>
      </c>
    </row>
    <row r="122" spans="1:9" ht="15.4" x14ac:dyDescent="0.4">
      <c r="A122" s="16"/>
      <c r="B122" s="15"/>
      <c r="C122" s="3" t="s">
        <v>7</v>
      </c>
      <c r="D122" s="3">
        <v>2867.66</v>
      </c>
      <c r="E122" s="19">
        <v>38.955749599999997</v>
      </c>
      <c r="F122" s="19">
        <v>-106.9888574</v>
      </c>
      <c r="G122" s="14"/>
      <c r="H122" s="14"/>
      <c r="I122" s="13"/>
    </row>
    <row r="123" spans="1:9" ht="15.4" x14ac:dyDescent="0.4">
      <c r="A123" s="16"/>
      <c r="B123" s="15"/>
      <c r="C123" s="3" t="s">
        <v>11</v>
      </c>
      <c r="D123" s="3">
        <v>2867.67</v>
      </c>
      <c r="E123" s="19">
        <v>38.955772799999998</v>
      </c>
      <c r="F123" s="19">
        <v>-106.9888457</v>
      </c>
      <c r="G123" s="14"/>
      <c r="H123" s="14"/>
      <c r="I123" s="13"/>
    </row>
    <row r="124" spans="1:9" ht="15.75" thickBot="1" x14ac:dyDescent="0.45">
      <c r="A124" s="16"/>
      <c r="B124" s="15"/>
      <c r="C124" s="4" t="s">
        <v>13</v>
      </c>
      <c r="D124" s="4">
        <v>2867.92</v>
      </c>
      <c r="E124" s="20">
        <v>38.955756000000001</v>
      </c>
      <c r="F124" s="20">
        <v>-106.988837</v>
      </c>
      <c r="G124" s="14"/>
      <c r="H124" s="14"/>
      <c r="I124" s="13"/>
    </row>
    <row r="125" spans="1:9" ht="15.4" x14ac:dyDescent="0.4">
      <c r="A125" s="16" t="s">
        <v>79</v>
      </c>
      <c r="B125" s="15" t="s">
        <v>83</v>
      </c>
      <c r="C125" s="3" t="s">
        <v>7</v>
      </c>
      <c r="D125" s="3">
        <v>2867.37</v>
      </c>
      <c r="E125" s="19">
        <v>38.955623500000002</v>
      </c>
      <c r="F125" s="19">
        <v>-106.989062</v>
      </c>
      <c r="G125" s="14">
        <f>(E125+E126+E127+E128)/4</f>
        <v>38.955634850000003</v>
      </c>
      <c r="H125" s="14">
        <f>(F125+F126+F127+F128)/4</f>
        <v>-106.98905335000001</v>
      </c>
      <c r="I125" s="13">
        <f>AVERAGE(D125:D128)</f>
        <v>2867.1850000000004</v>
      </c>
    </row>
    <row r="126" spans="1:9" ht="15.4" x14ac:dyDescent="0.4">
      <c r="A126" s="16"/>
      <c r="B126" s="15"/>
      <c r="C126" s="3" t="s">
        <v>9</v>
      </c>
      <c r="D126" s="3">
        <v>2867.22</v>
      </c>
      <c r="E126" s="19">
        <v>38.955641</v>
      </c>
      <c r="F126" s="19">
        <v>-106.9890656</v>
      </c>
      <c r="G126" s="14"/>
      <c r="H126" s="14"/>
      <c r="I126" s="13"/>
    </row>
    <row r="127" spans="1:9" ht="15.4" x14ac:dyDescent="0.4">
      <c r="A127" s="16"/>
      <c r="B127" s="15"/>
      <c r="C127" s="3" t="s">
        <v>85</v>
      </c>
      <c r="D127" s="3">
        <v>2867.19</v>
      </c>
      <c r="E127" s="19">
        <v>38.955646600000001</v>
      </c>
      <c r="F127" s="19">
        <v>-106.98904520000001</v>
      </c>
      <c r="G127" s="14"/>
      <c r="H127" s="14"/>
      <c r="I127" s="13"/>
    </row>
    <row r="128" spans="1:9" ht="15.75" thickBot="1" x14ac:dyDescent="0.45">
      <c r="A128" s="16"/>
      <c r="B128" s="15"/>
      <c r="C128" s="4" t="s">
        <v>13</v>
      </c>
      <c r="D128" s="4">
        <v>2866.96</v>
      </c>
      <c r="E128" s="20">
        <v>38.955628300000001</v>
      </c>
      <c r="F128" s="20">
        <v>-106.9890406</v>
      </c>
      <c r="G128" s="14"/>
      <c r="H128" s="14"/>
      <c r="I128" s="13"/>
    </row>
    <row r="129" spans="1:9" ht="15.4" x14ac:dyDescent="0.4">
      <c r="A129" s="16" t="s">
        <v>80</v>
      </c>
      <c r="B129" s="15" t="s">
        <v>84</v>
      </c>
      <c r="C129" s="3" t="s">
        <v>13</v>
      </c>
      <c r="D129" s="3">
        <v>2865.72</v>
      </c>
      <c r="E129" s="19">
        <v>38.955393700000002</v>
      </c>
      <c r="F129" s="19">
        <v>-106.98918020000001</v>
      </c>
      <c r="G129" s="14">
        <f>(E129+E130+E131+E132)/4</f>
        <v>38.955399049999997</v>
      </c>
      <c r="H129" s="14">
        <f>(F129+F130+F131+F132)/4</f>
        <v>-106.98919574999999</v>
      </c>
      <c r="I129" s="13">
        <f>AVERAGE(D129:D132)</f>
        <v>2865.7024999999999</v>
      </c>
    </row>
    <row r="130" spans="1:9" ht="15.4" x14ac:dyDescent="0.4">
      <c r="A130" s="16"/>
      <c r="B130" s="15"/>
      <c r="C130" s="3" t="s">
        <v>7</v>
      </c>
      <c r="D130" s="3">
        <v>2865.52</v>
      </c>
      <c r="E130" s="19">
        <v>38.955388399999997</v>
      </c>
      <c r="F130" s="19">
        <v>-106.98920099999999</v>
      </c>
      <c r="G130" s="14"/>
      <c r="H130" s="14"/>
      <c r="I130" s="13"/>
    </row>
    <row r="131" spans="1:9" ht="15.4" x14ac:dyDescent="0.4">
      <c r="A131" s="16"/>
      <c r="B131" s="15"/>
      <c r="C131" s="3" t="s">
        <v>11</v>
      </c>
      <c r="D131" s="3">
        <v>2865.88</v>
      </c>
      <c r="E131" s="19">
        <v>38.955409799999998</v>
      </c>
      <c r="F131" s="19">
        <v>-106.9891899</v>
      </c>
      <c r="G131" s="14"/>
      <c r="H131" s="14"/>
      <c r="I131" s="13"/>
    </row>
    <row r="132" spans="1:9" ht="15.75" thickBot="1" x14ac:dyDescent="0.45">
      <c r="A132" s="16"/>
      <c r="B132" s="15"/>
      <c r="C132" s="4" t="s">
        <v>9</v>
      </c>
      <c r="D132" s="4">
        <v>2865.69</v>
      </c>
      <c r="E132" s="20">
        <v>38.955404299999998</v>
      </c>
      <c r="F132" s="20">
        <v>-106.9892119</v>
      </c>
      <c r="G132" s="14"/>
      <c r="H132" s="14"/>
      <c r="I132" s="13"/>
    </row>
    <row r="133" spans="1:9" x14ac:dyDescent="0.4">
      <c r="A133" s="7"/>
      <c r="B133" s="7"/>
      <c r="C133" s="8"/>
      <c r="D133" s="7"/>
      <c r="E133" s="7"/>
      <c r="F133" s="7"/>
    </row>
    <row r="134" spans="1:9" ht="15.4" x14ac:dyDescent="0.4">
      <c r="A134" s="15" t="s">
        <v>86</v>
      </c>
      <c r="B134" s="15" t="s">
        <v>87</v>
      </c>
      <c r="C134" s="3" t="s">
        <v>9</v>
      </c>
      <c r="D134" s="3">
        <v>2888.89</v>
      </c>
      <c r="E134" s="19">
        <v>38.959167899999997</v>
      </c>
      <c r="F134" s="19">
        <v>-106.98703190000001</v>
      </c>
      <c r="G134" s="14">
        <f>(E134+E135+E136+E137)/4</f>
        <v>38.959172000000002</v>
      </c>
      <c r="H134" s="14">
        <f>(F134+F135+F136+F137)/4</f>
        <v>-106.9870166</v>
      </c>
      <c r="I134" s="13">
        <f>AVERAGE(D134:D136)</f>
        <v>2888.9866666666671</v>
      </c>
    </row>
    <row r="135" spans="1:9" ht="15.4" x14ac:dyDescent="0.4">
      <c r="A135" s="15"/>
      <c r="B135" s="15"/>
      <c r="C135" s="3" t="s">
        <v>11</v>
      </c>
      <c r="D135" s="3">
        <v>2889.3</v>
      </c>
      <c r="E135" s="19">
        <v>38.959183899999999</v>
      </c>
      <c r="F135" s="19">
        <v>-106.9870215</v>
      </c>
      <c r="G135" s="14"/>
      <c r="H135" s="14"/>
      <c r="I135" s="13"/>
    </row>
    <row r="136" spans="1:9" ht="15.4" x14ac:dyDescent="0.4">
      <c r="A136" s="15"/>
      <c r="B136" s="15"/>
      <c r="C136" s="3" t="s">
        <v>7</v>
      </c>
      <c r="D136" s="3">
        <v>2888.77</v>
      </c>
      <c r="E136" s="19">
        <v>38.959160099999998</v>
      </c>
      <c r="F136" s="19">
        <v>-106.9870116</v>
      </c>
      <c r="G136" s="14"/>
      <c r="H136" s="14"/>
      <c r="I136" s="13"/>
    </row>
    <row r="137" spans="1:9" ht="15.75" thickBot="1" x14ac:dyDescent="0.45">
      <c r="A137" s="15"/>
      <c r="B137" s="15"/>
      <c r="C137" s="4" t="s">
        <v>13</v>
      </c>
      <c r="D137" s="4">
        <v>2889.35</v>
      </c>
      <c r="E137" s="20">
        <v>38.959176100000001</v>
      </c>
      <c r="F137" s="20">
        <v>-106.9870014</v>
      </c>
      <c r="G137" s="14"/>
      <c r="H137" s="14"/>
      <c r="I137" s="13"/>
    </row>
    <row r="138" spans="1:9" x14ac:dyDescent="0.4">
      <c r="A138" s="7"/>
      <c r="B138" s="7"/>
      <c r="C138" s="8"/>
      <c r="D138" s="7"/>
      <c r="E138" s="7"/>
      <c r="F138" s="7"/>
    </row>
    <row r="139" spans="1:9" ht="15.4" x14ac:dyDescent="0.4">
      <c r="A139" s="15" t="s">
        <v>88</v>
      </c>
      <c r="B139" s="15" t="s">
        <v>89</v>
      </c>
      <c r="C139" s="3" t="s">
        <v>45</v>
      </c>
      <c r="D139" s="3">
        <v>2890.42</v>
      </c>
      <c r="E139" s="19">
        <v>38.958827100000001</v>
      </c>
      <c r="F139" s="19">
        <v>-106.9870262</v>
      </c>
      <c r="G139" s="14">
        <f>(E139+E140+E141+E142)/4</f>
        <v>38.958838750000005</v>
      </c>
      <c r="H139" s="14">
        <f>(F139+F140+F141+F142)/4</f>
        <v>-106.987032175</v>
      </c>
      <c r="I139" s="13">
        <f>AVERAGE(D139:D142)</f>
        <v>2890.41</v>
      </c>
    </row>
    <row r="140" spans="1:9" ht="15.4" x14ac:dyDescent="0.4">
      <c r="A140" s="15"/>
      <c r="B140" s="15"/>
      <c r="C140" s="3" t="s">
        <v>46</v>
      </c>
      <c r="D140" s="3">
        <v>2890.27</v>
      </c>
      <c r="E140" s="19">
        <v>38.958834400000001</v>
      </c>
      <c r="F140" s="19">
        <v>-106.9870471</v>
      </c>
      <c r="G140" s="14"/>
      <c r="H140" s="14"/>
      <c r="I140" s="13"/>
    </row>
    <row r="141" spans="1:9" ht="15.4" x14ac:dyDescent="0.4">
      <c r="A141" s="15"/>
      <c r="B141" s="15"/>
      <c r="C141" s="3" t="s">
        <v>43</v>
      </c>
      <c r="D141" s="3">
        <v>2890.41</v>
      </c>
      <c r="E141" s="19">
        <v>38.958850400000003</v>
      </c>
      <c r="F141" s="19">
        <v>-106.98703829999999</v>
      </c>
      <c r="G141" s="14"/>
      <c r="H141" s="14"/>
      <c r="I141" s="13"/>
    </row>
    <row r="142" spans="1:9" ht="15.75" thickBot="1" x14ac:dyDescent="0.45">
      <c r="A142" s="15"/>
      <c r="B142" s="15"/>
      <c r="C142" s="4" t="s">
        <v>44</v>
      </c>
      <c r="D142" s="4">
        <v>2890.54</v>
      </c>
      <c r="E142" s="20">
        <v>38.958843100000003</v>
      </c>
      <c r="F142" s="20">
        <v>-106.9870171</v>
      </c>
      <c r="G142" s="14"/>
      <c r="H142" s="14"/>
      <c r="I142" s="13"/>
    </row>
  </sheetData>
  <mergeCells count="170">
    <mergeCell ref="A13:A16"/>
    <mergeCell ref="B13:B16"/>
    <mergeCell ref="A17:A20"/>
    <mergeCell ref="B17:B20"/>
    <mergeCell ref="A21:A23"/>
    <mergeCell ref="B21:B23"/>
    <mergeCell ref="A2:A5"/>
    <mergeCell ref="B2:B5"/>
    <mergeCell ref="A6:A8"/>
    <mergeCell ref="B6:B8"/>
    <mergeCell ref="A9:A12"/>
    <mergeCell ref="B9:B12"/>
    <mergeCell ref="A36:A39"/>
    <mergeCell ref="B36:B39"/>
    <mergeCell ref="A40:A43"/>
    <mergeCell ref="B40:B43"/>
    <mergeCell ref="A44:A47"/>
    <mergeCell ref="B44:B47"/>
    <mergeCell ref="B24:B26"/>
    <mergeCell ref="A24:A26"/>
    <mergeCell ref="A27:A30"/>
    <mergeCell ref="B27:B30"/>
    <mergeCell ref="A31:A34"/>
    <mergeCell ref="B31:B34"/>
    <mergeCell ref="A66:A69"/>
    <mergeCell ref="A70:A73"/>
    <mergeCell ref="A75:A78"/>
    <mergeCell ref="A79:A82"/>
    <mergeCell ref="A83:A86"/>
    <mergeCell ref="A87:A90"/>
    <mergeCell ref="A48:A51"/>
    <mergeCell ref="B48:B51"/>
    <mergeCell ref="A52:A55"/>
    <mergeCell ref="B52:B55"/>
    <mergeCell ref="A57:A60"/>
    <mergeCell ref="A61:A64"/>
    <mergeCell ref="B57:B60"/>
    <mergeCell ref="B61:B64"/>
    <mergeCell ref="A104:A107"/>
    <mergeCell ref="A108:A111"/>
    <mergeCell ref="B96:B99"/>
    <mergeCell ref="B100:B103"/>
    <mergeCell ref="B104:B107"/>
    <mergeCell ref="B108:B111"/>
    <mergeCell ref="A91:A94"/>
    <mergeCell ref="B75:B78"/>
    <mergeCell ref="B79:B82"/>
    <mergeCell ref="B83:B86"/>
    <mergeCell ref="B87:B90"/>
    <mergeCell ref="B91:B94"/>
    <mergeCell ref="A134:A137"/>
    <mergeCell ref="B134:B137"/>
    <mergeCell ref="B139:B142"/>
    <mergeCell ref="A139:A142"/>
    <mergeCell ref="G2:G5"/>
    <mergeCell ref="H2:H5"/>
    <mergeCell ref="G6:G8"/>
    <mergeCell ref="H6:H8"/>
    <mergeCell ref="G9:G12"/>
    <mergeCell ref="H9:H12"/>
    <mergeCell ref="A113:A116"/>
    <mergeCell ref="B113:B116"/>
    <mergeCell ref="A117:A120"/>
    <mergeCell ref="A121:A124"/>
    <mergeCell ref="A125:A128"/>
    <mergeCell ref="A129:A132"/>
    <mergeCell ref="B117:B120"/>
    <mergeCell ref="B121:B124"/>
    <mergeCell ref="B125:B128"/>
    <mergeCell ref="B129:B132"/>
    <mergeCell ref="B66:B69"/>
    <mergeCell ref="B70:B73"/>
    <mergeCell ref="A96:A99"/>
    <mergeCell ref="A100:A103"/>
    <mergeCell ref="G24:G26"/>
    <mergeCell ref="H24:H26"/>
    <mergeCell ref="G27:G30"/>
    <mergeCell ref="H27:H30"/>
    <mergeCell ref="G31:G34"/>
    <mergeCell ref="H31:H34"/>
    <mergeCell ref="G13:G16"/>
    <mergeCell ref="H13:H16"/>
    <mergeCell ref="G17:G20"/>
    <mergeCell ref="H17:H20"/>
    <mergeCell ref="G21:G23"/>
    <mergeCell ref="H21:H23"/>
    <mergeCell ref="G48:G51"/>
    <mergeCell ref="H48:H51"/>
    <mergeCell ref="G52:G55"/>
    <mergeCell ref="H52:H55"/>
    <mergeCell ref="G57:G60"/>
    <mergeCell ref="H57:H60"/>
    <mergeCell ref="G36:G39"/>
    <mergeCell ref="H36:H39"/>
    <mergeCell ref="G40:G43"/>
    <mergeCell ref="H40:H43"/>
    <mergeCell ref="G44:G47"/>
    <mergeCell ref="H44:H47"/>
    <mergeCell ref="G75:G78"/>
    <mergeCell ref="H75:H78"/>
    <mergeCell ref="G79:G82"/>
    <mergeCell ref="H79:H82"/>
    <mergeCell ref="G83:G86"/>
    <mergeCell ref="H83:H86"/>
    <mergeCell ref="G61:G64"/>
    <mergeCell ref="H61:H64"/>
    <mergeCell ref="G66:G69"/>
    <mergeCell ref="H66:H69"/>
    <mergeCell ref="G70:G73"/>
    <mergeCell ref="H70:H73"/>
    <mergeCell ref="G104:G107"/>
    <mergeCell ref="H104:H107"/>
    <mergeCell ref="G108:G111"/>
    <mergeCell ref="H108:H111"/>
    <mergeCell ref="G87:G90"/>
    <mergeCell ref="H87:H90"/>
    <mergeCell ref="G91:G94"/>
    <mergeCell ref="H91:H94"/>
    <mergeCell ref="G96:G99"/>
    <mergeCell ref="H96:H99"/>
    <mergeCell ref="G139:G142"/>
    <mergeCell ref="H139:H142"/>
    <mergeCell ref="I2:I5"/>
    <mergeCell ref="I6:I8"/>
    <mergeCell ref="I9:I12"/>
    <mergeCell ref="I13:I16"/>
    <mergeCell ref="I17:I20"/>
    <mergeCell ref="I21:I23"/>
    <mergeCell ref="I24:I26"/>
    <mergeCell ref="I27:I30"/>
    <mergeCell ref="G125:G128"/>
    <mergeCell ref="H125:H128"/>
    <mergeCell ref="G129:G132"/>
    <mergeCell ref="H129:H132"/>
    <mergeCell ref="G134:G137"/>
    <mergeCell ref="H134:H137"/>
    <mergeCell ref="G113:G116"/>
    <mergeCell ref="H113:H116"/>
    <mergeCell ref="G117:G120"/>
    <mergeCell ref="H117:H120"/>
    <mergeCell ref="G121:G124"/>
    <mergeCell ref="H121:H124"/>
    <mergeCell ref="G100:G103"/>
    <mergeCell ref="H100:H103"/>
    <mergeCell ref="I57:I60"/>
    <mergeCell ref="I61:I64"/>
    <mergeCell ref="I66:I69"/>
    <mergeCell ref="I70:I73"/>
    <mergeCell ref="I75:I78"/>
    <mergeCell ref="I79:I82"/>
    <mergeCell ref="I31:I34"/>
    <mergeCell ref="I36:I39"/>
    <mergeCell ref="I40:I43"/>
    <mergeCell ref="I44:I47"/>
    <mergeCell ref="I48:I51"/>
    <mergeCell ref="I52:I55"/>
    <mergeCell ref="I134:I137"/>
    <mergeCell ref="I139:I142"/>
    <mergeCell ref="I108:I111"/>
    <mergeCell ref="I113:I116"/>
    <mergeCell ref="I117:I120"/>
    <mergeCell ref="I121:I124"/>
    <mergeCell ref="I125:I128"/>
    <mergeCell ref="I129:I132"/>
    <mergeCell ref="I83:I86"/>
    <mergeCell ref="I87:I90"/>
    <mergeCell ref="I91:I94"/>
    <mergeCell ref="I96:I99"/>
    <mergeCell ref="I100:I103"/>
    <mergeCell ref="I104:I107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Shijia</dc:creator>
  <cp:lastModifiedBy>Shijia Peng</cp:lastModifiedBy>
  <dcterms:created xsi:type="dcterms:W3CDTF">2015-06-05T18:17:20Z</dcterms:created>
  <dcterms:modified xsi:type="dcterms:W3CDTF">2025-09-23T15:25:18Z</dcterms:modified>
</cp:coreProperties>
</file>